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k\Desktop\"/>
    </mc:Choice>
  </mc:AlternateContent>
  <xr:revisionPtr revIDLastSave="0" documentId="8_{476911BB-CA07-43C1-B782-12363A08604B}" xr6:coauthVersionLast="47" xr6:coauthVersionMax="47" xr10:uidLastSave="{00000000-0000-0000-0000-000000000000}"/>
  <bookViews>
    <workbookView xWindow="-120" yWindow="-120" windowWidth="20730" windowHeight="11160" firstSheet="5" activeTab="9" xr2:uid="{2B856ABB-8B13-4DB2-8948-92EDDF099139}"/>
  </bookViews>
  <sheets>
    <sheet name="Sheet1" sheetId="2" r:id="rId1"/>
    <sheet name="Sheet2" sheetId="3" r:id="rId2"/>
    <sheet name="avgc.p" sheetId="4" r:id="rId3"/>
    <sheet name="Most Expensive" sheetId="5" r:id="rId4"/>
    <sheet name="Discount category" sheetId="6" r:id="rId5"/>
    <sheet name="Dist. of products" sheetId="7" r:id="rId6"/>
    <sheet name="DiscountvsReviews" sheetId="8" r:id="rId7"/>
    <sheet name="Rating VS reviews" sheetId="9" r:id="rId8"/>
    <sheet name="kpis" sheetId="11" r:id="rId9"/>
    <sheet name="dashboard" sheetId="12" r:id="rId10"/>
    <sheet name="Average Rating" sheetId="13" r:id="rId11"/>
    <sheet name="Top products by review" sheetId="14" r:id="rId12"/>
    <sheet name="Top Products by discount" sheetId="15" r:id="rId13"/>
    <sheet name="Products by rating category" sheetId="16" r:id="rId14"/>
    <sheet name="Product by Discount Category" sheetId="17" r:id="rId15"/>
    <sheet name="Excel_jumia" sheetId="1" r:id="rId16"/>
  </sheets>
  <definedNames>
    <definedName name="Slicer_Discount">#N/A</definedName>
    <definedName name="Slicer_Product">#N/A</definedName>
    <definedName name="Slicer_Product1">#N/A</definedName>
    <definedName name="Slicer_Product2">#N/A</definedName>
    <definedName name="Slicer_Rating1">#N/A</definedName>
    <definedName name="Slicer_Review">#N/A</definedName>
  </definedNames>
  <calcPr calcId="191029" iterate="1"/>
  <pivotCaches>
    <pivotCache cacheId="1" r:id="rId17"/>
  </pivotCaches>
  <fileRecoveryPr repairLoad="1"/>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Lst>
</workbook>
</file>

<file path=xl/calcChain.xml><?xml version="1.0" encoding="utf-8"?>
<calcChain xmlns="http://schemas.openxmlformats.org/spreadsheetml/2006/main">
  <c r="L98" i="1" l="1"/>
  <c r="L99" i="1"/>
  <c r="L97" i="1"/>
  <c r="L96" i="1"/>
  <c r="L11" i="1"/>
  <c r="L9" i="1"/>
  <c r="L8" i="1"/>
  <c r="L6" i="1"/>
  <c r="L5" i="1"/>
  <c r="L4" i="1"/>
  <c r="L3" i="1" l="1"/>
</calcChain>
</file>

<file path=xl/sharedStrings.xml><?xml version="1.0" encoding="utf-8"?>
<sst xmlns="http://schemas.openxmlformats.org/spreadsheetml/2006/main" count="572" uniqueCount="158">
  <si>
    <t>Product</t>
  </si>
  <si>
    <t>Current price</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</si>
  <si>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</si>
  <si>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</si>
  <si>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</si>
  <si>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</si>
  <si>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</si>
  <si>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</si>
  <si>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</si>
  <si>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</si>
  <si>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</si>
  <si>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</si>
  <si>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</si>
  <si>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</si>
  <si>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</si>
  <si>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</si>
  <si>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</si>
  <si>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</si>
  <si>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</si>
  <si>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</si>
  <si>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</si>
  <si>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</si>
  <si>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</si>
  <si>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</si>
  <si>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</si>
  <si>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</si>
  <si>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</si>
  <si>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</si>
  <si>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</si>
  <si>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</si>
  <si>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</si>
  <si>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</si>
  <si>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</si>
  <si>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</si>
  <si>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</si>
  <si>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</si>
  <si>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</si>
  <si>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</si>
  <si>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</si>
  <si>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</si>
  <si>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</si>
  <si>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</si>
  <si>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</si>
  <si>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</si>
  <si>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</si>
  <si>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</si>
  <si>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</si>
  <si>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</si>
  <si>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</si>
  <si>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</si>
  <si>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</si>
  <si>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</si>
  <si>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</si>
  <si>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</si>
  <si>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</si>
  <si>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</si>
  <si>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</si>
  <si>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</si>
  <si>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</si>
  <si>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</si>
  <si>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</si>
  <si>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</si>
  <si>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</si>
  <si>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</si>
  <si>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</si>
  <si>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</si>
  <si>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</si>
  <si>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</si>
  <si>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</si>
  <si>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</si>
  <si>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</si>
  <si>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</si>
  <si>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</si>
  <si>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</si>
  <si>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</si>
  <si>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</si>
  <si>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</si>
  <si>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</si>
  <si>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</si>
  <si>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</si>
  <si>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</si>
  <si>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</si>
  <si>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</si>
  <si>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</si>
  <si>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</si>
  <si>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</si>
  <si>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</si>
  <si>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</si>
  <si>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</si>
  <si>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</si>
  <si>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</si>
  <si>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</si>
  <si>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</si>
  <si>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</si>
  <si>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</si>
  <si>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</si>
  <si>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</si>
  <si>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</si>
  <si>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</si>
  <si>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</si>
  <si>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</si>
  <si>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</si>
  <si>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</si>
  <si>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</si>
  <si>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</si>
  <si>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</si>
  <si>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</si>
  <si>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</si>
  <si>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</si>
  <si>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</si>
  <si>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</si>
  <si>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MultiFunctional Storage Rack Multi-layer Booelf</t>
  </si>
  <si>
    <t>Discount amount</t>
  </si>
  <si>
    <t>Rating Category</t>
  </si>
  <si>
    <t>Discount Category</t>
  </si>
  <si>
    <t>Average</t>
  </si>
  <si>
    <t xml:space="preserve">Old price </t>
  </si>
  <si>
    <t>Discount %</t>
  </si>
  <si>
    <t>Rating</t>
  </si>
  <si>
    <t>Most expensive</t>
  </si>
  <si>
    <t>Least Expensive</t>
  </si>
  <si>
    <t>Excellent</t>
  </si>
  <si>
    <t>Medium Discount</t>
  </si>
  <si>
    <t>High Discount</t>
  </si>
  <si>
    <t>Low Discount</t>
  </si>
  <si>
    <t>Poor</t>
  </si>
  <si>
    <t>Old price</t>
  </si>
  <si>
    <t xml:space="preserve">Discount </t>
  </si>
  <si>
    <t>Row Labels</t>
  </si>
  <si>
    <t>Grand Total</t>
  </si>
  <si>
    <t>Average of Rating</t>
  </si>
  <si>
    <t>Average of Current price</t>
  </si>
  <si>
    <t xml:space="preserve">Average of Discount </t>
  </si>
  <si>
    <t>Average of Old price</t>
  </si>
  <si>
    <t>Average Current Price, Old Price, Discount &amp; Rating</t>
  </si>
  <si>
    <t>Max of New current price</t>
  </si>
  <si>
    <t>Count of Product</t>
  </si>
  <si>
    <t>Sum of Review</t>
  </si>
  <si>
    <t>0.01-0.11</t>
  </si>
  <si>
    <t>0.11-0.21</t>
  </si>
  <si>
    <t>0.21-0.31</t>
  </si>
  <si>
    <t>0.31-0.41</t>
  </si>
  <si>
    <t>0.41-0.51</t>
  </si>
  <si>
    <t>0.51-0.61</t>
  </si>
  <si>
    <t>0.61-0.71</t>
  </si>
  <si>
    <t>Ratings</t>
  </si>
  <si>
    <t>0-1</t>
  </si>
  <si>
    <t>2-3</t>
  </si>
  <si>
    <t>3-4</t>
  </si>
  <si>
    <t>4-5</t>
  </si>
  <si>
    <t>Average rating(low)</t>
  </si>
  <si>
    <t>Average rating(high)</t>
  </si>
  <si>
    <t>Average review(high)</t>
  </si>
  <si>
    <t>Average review(low)</t>
  </si>
  <si>
    <t>Total Products</t>
  </si>
  <si>
    <t xml:space="preserve">Avg Discount </t>
  </si>
  <si>
    <t>Avg Rating</t>
  </si>
  <si>
    <t>Total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</si>
</sst>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465926084170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9" fontId="0" fillId="0" borderId="0" xfId="0" applyNumberFormat="1"/>
    <xf numFmtId="0" fontId="16" fillId="0" borderId="0" xfId="0" applyFont="1"/>
    <xf numFmtId="3" fontId="0" fillId="0" borderId="0" xfId="0" applyNumberFormat="1"/>
    <xf numFmtId="2"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applyAlignment="1">
      <alignment horizontal="left"/>
    </xf>
    <xf numFmtId="164" fontId="0" fillId="0" borderId="0" xfId="0" applyNumberFormat="1"/>
    <xf numFmtId="0" fontId="0" fillId="33" borderId="0" xfId="0" applyFill="1"/>
    <xf numFmtId="0" fontId="16" fillId="0" borderId="0" xfId="0"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[Excel_jumia.xlsx]DiscountvsReviews!PivotTable15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DiscountvsReviews!$B$3</c:f>
              <c:strCache>
                <c:ptCount val="1"/>
                <c:pt idx="0">
                  <c:v>Total</c:v>
                </c:pt>
              </c:strCache>
            </c:strRef>
          </c:tx>
          <c:spPr>
            <a:ln w="28575" cap="rnd">
              <a:solidFill>
                <a:schemeClr val="accent2"/>
              </a:solidFill>
              <a:round/>
            </a:ln>
            <a:effectLst/>
          </c:spPr>
          <c:marker>
            <c:symbol val="none"/>
          </c:marker>
          <c:cat>
            <c:strRef>
              <c:f>DiscountvsReviews!$A$4:$A$11</c:f>
              <c:strCache>
                <c:ptCount val="7"/>
                <c:pt idx="0">
                  <c:v>0.01-0.11</c:v>
                </c:pt>
                <c:pt idx="1">
                  <c:v>0.11-0.21</c:v>
                </c:pt>
                <c:pt idx="2">
                  <c:v>0.21-0.31</c:v>
                </c:pt>
                <c:pt idx="3">
                  <c:v>0.31-0.41</c:v>
                </c:pt>
                <c:pt idx="4">
                  <c:v>0.41-0.51</c:v>
                </c:pt>
                <c:pt idx="5">
                  <c:v>0.51-0.61</c:v>
                </c:pt>
                <c:pt idx="6">
                  <c:v>0.61-0.71</c:v>
                </c:pt>
              </c:strCache>
            </c:strRef>
          </c:cat>
          <c:val>
            <c:numRef>
              <c:f>DiscountvsReviews!$B$4:$B$11</c:f>
              <c:numCache>
                <c:formatCode>General</c:formatCode>
                <c:ptCount val="7"/>
                <c:pt idx="0">
                  <c:v>15</c:v>
                </c:pt>
                <c:pt idx="1">
                  <c:v>35</c:v>
                </c:pt>
                <c:pt idx="2">
                  <c:v>192</c:v>
                </c:pt>
                <c:pt idx="3">
                  <c:v>147</c:v>
                </c:pt>
                <c:pt idx="4">
                  <c:v>258</c:v>
                </c:pt>
                <c:pt idx="5">
                  <c:v>76</c:v>
                </c:pt>
                <c:pt idx="6">
                  <c:v>0</c:v>
                </c:pt>
              </c:numCache>
            </c:numRef>
          </c:val>
          <c:smooth val="0"/>
          <c:extLst>
            <c:ext xmlns:c16="http://schemas.microsoft.com/office/drawing/2014/chart" uri="{C3380CC4-5D6E-409C-BE32-E72D297353CC}">
              <c16:uniqueId val="{00000000-3C87-4A99-A04D-43BBA59EA1EC}"/>
            </c:ext>
          </c:extLst>
        </c:ser>
        <c:dLbls>
          <c:showLegendKey val="0"/>
          <c:showVal val="0"/>
          <c:showCatName val="0"/>
          <c:showSerName val="0"/>
          <c:showPercent val="0"/>
          <c:showBubbleSize val="0"/>
        </c:dLbls>
        <c:smooth val="0"/>
        <c:axId val="197521520"/>
        <c:axId val="197520080"/>
      </c:lineChart>
      <c:catAx>
        <c:axId val="19752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20080"/>
        <c:crosses val="autoZero"/>
        <c:auto val="1"/>
        <c:lblAlgn val="ctr"/>
        <c:lblOffset val="100"/>
        <c:noMultiLvlLbl val="0"/>
      </c:catAx>
      <c:valAx>
        <c:axId val="19752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2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[Excel_jumia.xlsx]Average Rating!PivotTable19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Top</a:t>
            </a:r>
            <a:r>
              <a:rPr lang="en-US" b="1" baseline="0">
                <a:latin typeface="Times New Roman" panose="02020603050405020304" pitchFamily="18" charset="0"/>
                <a:cs typeface="Times New Roman" panose="02020603050405020304" pitchFamily="18" charset="0"/>
              </a:rPr>
              <a:t> Products byRating</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Rating'!$B$3</c:f>
              <c:strCache>
                <c:ptCount val="1"/>
                <c:pt idx="0">
                  <c:v>Total</c:v>
                </c:pt>
              </c:strCache>
            </c:strRef>
          </c:tx>
          <c:spPr>
            <a:solidFill>
              <a:schemeClr val="accent1"/>
            </a:solidFill>
            <a:ln>
              <a:noFill/>
            </a:ln>
            <a:effectLst/>
          </c:spPr>
          <c:invertIfNegative val="0"/>
          <c:cat>
            <c:strRef>
              <c:f>'Average Rating'!$A$4:$A$14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'Average 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FDC8-4426-87DC-0F0A7B9A79CE}"/>
            </c:ext>
          </c:extLst>
        </c:ser>
        <c:dLbls>
          <c:showLegendKey val="0"/>
          <c:showVal val="0"/>
          <c:showCatName val="0"/>
          <c:showSerName val="0"/>
          <c:showPercent val="0"/>
          <c:showBubbleSize val="0"/>
        </c:dLbls>
        <c:gapWidth val="219"/>
        <c:overlap val="-27"/>
        <c:axId val="128145776"/>
        <c:axId val="128146256"/>
      </c:barChart>
      <c:catAx>
        <c:axId val="128145776"/>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Product</a:t>
                </a:r>
                <a:r>
                  <a:rPr lang="en-US" sz="1200" baseline="0">
                    <a:latin typeface="Times New Roman" panose="02020603050405020304" pitchFamily="18" charset="0"/>
                    <a:cs typeface="Times New Roman" panose="02020603050405020304" pitchFamily="18" charset="0"/>
                  </a:rPr>
                  <a:t> </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46256"/>
        <c:crosses val="autoZero"/>
        <c:auto val="1"/>
        <c:lblAlgn val="ctr"/>
        <c:lblOffset val="100"/>
        <c:noMultiLvlLbl val="0"/>
      </c:catAx>
      <c:valAx>
        <c:axId val="128146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Average</a:t>
                </a:r>
                <a:r>
                  <a:rPr lang="en-US" sz="1000" baseline="0">
                    <a:latin typeface="Times New Roman" panose="02020603050405020304" pitchFamily="18" charset="0"/>
                    <a:cs typeface="Times New Roman" panose="02020603050405020304" pitchFamily="18" charset="0"/>
                  </a:rPr>
                  <a:t> Rating</a:t>
                </a:r>
                <a:endParaRPr lang="en-US" sz="1000">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4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[Excel_jumia.xlsx]Top products by review!PivotTable20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Top</a:t>
            </a:r>
            <a:r>
              <a:rPr lang="en-US" b="1" baseline="0">
                <a:latin typeface="Times New Roman" panose="02020603050405020304" pitchFamily="18" charset="0"/>
                <a:cs typeface="Times New Roman" panose="02020603050405020304" pitchFamily="18" charset="0"/>
              </a:rPr>
              <a:t> Products by review </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by review'!$B$3</c:f>
              <c:strCache>
                <c:ptCount val="1"/>
                <c:pt idx="0">
                  <c:v>Total</c:v>
                </c:pt>
              </c:strCache>
            </c:strRef>
          </c:tx>
          <c:spPr>
            <a:solidFill>
              <a:schemeClr val="accent1"/>
            </a:solidFill>
            <a:ln>
              <a:noFill/>
            </a:ln>
            <a:effectLst/>
          </c:spPr>
          <c:invertIfNegative val="0"/>
          <c:cat>
            <c:strRef>
              <c:f>'Top products by review'!$A$4:$A$14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'Top products by review'!$B$4:$B$14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6B01-4196-A40D-82635601B1F9}"/>
            </c:ext>
          </c:extLst>
        </c:ser>
        <c:dLbls>
          <c:showLegendKey val="0"/>
          <c:showVal val="0"/>
          <c:showCatName val="0"/>
          <c:showSerName val="0"/>
          <c:showPercent val="0"/>
          <c:showBubbleSize val="0"/>
        </c:dLbls>
        <c:gapWidth val="182"/>
        <c:axId val="206119728"/>
        <c:axId val="206119248"/>
      </c:barChart>
      <c:catAx>
        <c:axId val="2061197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Product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6119248"/>
        <c:crosses val="autoZero"/>
        <c:auto val="1"/>
        <c:lblAlgn val="ctr"/>
        <c:lblOffset val="100"/>
        <c:noMultiLvlLbl val="0"/>
      </c:catAx>
      <c:valAx>
        <c:axId val="2061192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Reviews</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1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[Excel_jumia.xlsx]Top Products by discount!PivotTable21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Top</a:t>
            </a:r>
            <a:r>
              <a:rPr lang="en-US" sz="1400" b="1" baseline="0">
                <a:latin typeface="Times New Roman" panose="02020603050405020304" pitchFamily="18" charset="0"/>
                <a:cs typeface="Times New Roman" panose="02020603050405020304" pitchFamily="18" charset="0"/>
              </a:rPr>
              <a:t> Products by Discount %</a:t>
            </a:r>
            <a:endParaRPr lang="en-US" sz="1400" b="1">
              <a:latin typeface="Times New Roman" panose="02020603050405020304" pitchFamily="18" charset="0"/>
              <a:cs typeface="Times New Roman" panose="02020603050405020304" pitchFamily="18" charset="0"/>
            </a:endParaRPr>
          </a:p>
        </c:rich>
      </c:tx>
      <c:layout>
        <c:manualLayout>
          <c:xMode val="edge"/>
          <c:yMode val="edge"/>
          <c:x val="0.26289207966651229"/>
          <c:y val="0.1286978958138707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by discount'!$B$3</c:f>
              <c:strCache>
                <c:ptCount val="1"/>
                <c:pt idx="0">
                  <c:v>Total</c:v>
                </c:pt>
              </c:strCache>
            </c:strRef>
          </c:tx>
          <c:spPr>
            <a:solidFill>
              <a:schemeClr val="accent1"/>
            </a:solidFill>
            <a:ln>
              <a:noFill/>
            </a:ln>
            <a:effectLst/>
          </c:spPr>
          <c:invertIfNegative val="0"/>
          <c:cat>
            <c:strRef>
              <c:f>'Top Products by discount'!$A$4:$A$14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'Top Products by discount'!$B$4:$B$14</c:f>
              <c:numCache>
                <c:formatCode>0%</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Cache>
            </c:numRef>
          </c:val>
          <c:extLst>
            <c:ext xmlns:c16="http://schemas.microsoft.com/office/drawing/2014/chart" uri="{C3380CC4-5D6E-409C-BE32-E72D297353CC}">
              <c16:uniqueId val="{00000000-9840-4435-97F2-042C6DDA0BE4}"/>
            </c:ext>
          </c:extLst>
        </c:ser>
        <c:dLbls>
          <c:showLegendKey val="0"/>
          <c:showVal val="0"/>
          <c:showCatName val="0"/>
          <c:showSerName val="0"/>
          <c:showPercent val="0"/>
          <c:showBubbleSize val="0"/>
        </c:dLbls>
        <c:gapWidth val="182"/>
        <c:axId val="574639632"/>
        <c:axId val="574638192"/>
      </c:barChart>
      <c:catAx>
        <c:axId val="574639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Product</a:t>
                </a:r>
                <a:r>
                  <a:rPr lang="en-US" sz="1200" baseline="0">
                    <a:latin typeface="Times New Roman" panose="02020603050405020304" pitchFamily="18" charset="0"/>
                    <a:cs typeface="Times New Roman" panose="02020603050405020304" pitchFamily="18" charset="0"/>
                  </a:rPr>
                  <a:t> </a:t>
                </a:r>
                <a:endParaRPr lang="en-US" sz="1200">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638192"/>
        <c:crosses val="autoZero"/>
        <c:auto val="1"/>
        <c:lblAlgn val="ctr"/>
        <c:lblOffset val="100"/>
        <c:noMultiLvlLbl val="0"/>
      </c:catAx>
      <c:valAx>
        <c:axId val="5746381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Discount</a:t>
                </a:r>
                <a:r>
                  <a:rPr lang="en-US" sz="1200" baseline="0">
                    <a:latin typeface="Times New Roman" panose="02020603050405020304" pitchFamily="18" charset="0"/>
                    <a:cs typeface="Times New Roman" panose="02020603050405020304" pitchFamily="18" charset="0"/>
                  </a:rPr>
                  <a:t> %</a:t>
                </a:r>
                <a:endParaRPr lang="en-US" sz="12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63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latin typeface="Times New Roman" panose="02020603050405020304" pitchFamily="18" charset="0"/>
                <a:cs typeface="Times New Roman" panose="02020603050405020304" pitchFamily="18" charset="0"/>
              </a:rPr>
              <a:t>Discount vs Number of Reviews</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Excel_jumia!$E$1</c:f>
              <c:strCache>
                <c:ptCount val="1"/>
                <c:pt idx="0">
                  <c:v>Review</c:v>
                </c:pt>
              </c:strCache>
            </c:strRef>
          </c:tx>
          <c:spPr>
            <a:ln w="19050"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Excel_jumia!$D$2:$D$113</c:f>
              <c:numCache>
                <c:formatCode>0%</c:formatCode>
                <c:ptCount val="112"/>
                <c:pt idx="0">
                  <c:v>0.49</c:v>
                </c:pt>
                <c:pt idx="1">
                  <c:v>0.53</c:v>
                </c:pt>
                <c:pt idx="2">
                  <c:v>0.51</c:v>
                </c:pt>
                <c:pt idx="3">
                  <c:v>0.46</c:v>
                </c:pt>
                <c:pt idx="4">
                  <c:v>0.49</c:v>
                </c:pt>
                <c:pt idx="5">
                  <c:v>0.4</c:v>
                </c:pt>
                <c:pt idx="6">
                  <c:v>0.21</c:v>
                </c:pt>
                <c:pt idx="7">
                  <c:v>0.47</c:v>
                </c:pt>
                <c:pt idx="8">
                  <c:v>0.55000000000000004</c:v>
                </c:pt>
                <c:pt idx="9">
                  <c:v>0.26</c:v>
                </c:pt>
                <c:pt idx="10">
                  <c:v>0.34</c:v>
                </c:pt>
                <c:pt idx="11">
                  <c:v>0.27</c:v>
                </c:pt>
                <c:pt idx="12">
                  <c:v>0.34</c:v>
                </c:pt>
                <c:pt idx="13">
                  <c:v>0.37</c:v>
                </c:pt>
                <c:pt idx="14">
                  <c:v>0.24</c:v>
                </c:pt>
                <c:pt idx="15">
                  <c:v>0.35</c:v>
                </c:pt>
                <c:pt idx="16">
                  <c:v>0.49</c:v>
                </c:pt>
                <c:pt idx="17">
                  <c:v>0.25</c:v>
                </c:pt>
                <c:pt idx="18">
                  <c:v>0.19</c:v>
                </c:pt>
                <c:pt idx="19">
                  <c:v>0.27</c:v>
                </c:pt>
                <c:pt idx="20">
                  <c:v>0.42</c:v>
                </c:pt>
                <c:pt idx="21">
                  <c:v>0.38</c:v>
                </c:pt>
                <c:pt idx="22">
                  <c:v>0.38</c:v>
                </c:pt>
                <c:pt idx="23">
                  <c:v>0.23</c:v>
                </c:pt>
                <c:pt idx="24">
                  <c:v>0.41</c:v>
                </c:pt>
                <c:pt idx="25">
                  <c:v>0.52</c:v>
                </c:pt>
                <c:pt idx="26">
                  <c:v>0.48</c:v>
                </c:pt>
                <c:pt idx="27">
                  <c:v>0.54</c:v>
                </c:pt>
                <c:pt idx="28">
                  <c:v>0.33</c:v>
                </c:pt>
                <c:pt idx="29">
                  <c:v>0.3</c:v>
                </c:pt>
                <c:pt idx="30">
                  <c:v>0.47</c:v>
                </c:pt>
                <c:pt idx="31">
                  <c:v>0.2</c:v>
                </c:pt>
                <c:pt idx="32">
                  <c:v>0.09</c:v>
                </c:pt>
                <c:pt idx="33">
                  <c:v>0.35</c:v>
                </c:pt>
                <c:pt idx="34">
                  <c:v>0.37</c:v>
                </c:pt>
                <c:pt idx="35">
                  <c:v>0.49</c:v>
                </c:pt>
                <c:pt idx="36">
                  <c:v>0.32</c:v>
                </c:pt>
                <c:pt idx="37">
                  <c:v>0.18</c:v>
                </c:pt>
                <c:pt idx="38">
                  <c:v>0.45</c:v>
                </c:pt>
                <c:pt idx="39">
                  <c:v>0.53</c:v>
                </c:pt>
                <c:pt idx="40">
                  <c:v>0.54</c:v>
                </c:pt>
                <c:pt idx="41">
                  <c:v>0.43</c:v>
                </c:pt>
                <c:pt idx="42">
                  <c:v>0.39</c:v>
                </c:pt>
                <c:pt idx="43">
                  <c:v>0.28999999999999998</c:v>
                </c:pt>
                <c:pt idx="44">
                  <c:v>0.46</c:v>
                </c:pt>
                <c:pt idx="45">
                  <c:v>0.22</c:v>
                </c:pt>
                <c:pt idx="46">
                  <c:v>0.49</c:v>
                </c:pt>
                <c:pt idx="47">
                  <c:v>0.52</c:v>
                </c:pt>
                <c:pt idx="48">
                  <c:v>0.45</c:v>
                </c:pt>
                <c:pt idx="49">
                  <c:v>0.13</c:v>
                </c:pt>
                <c:pt idx="50">
                  <c:v>0.5</c:v>
                </c:pt>
                <c:pt idx="51">
                  <c:v>0.43</c:v>
                </c:pt>
                <c:pt idx="52">
                  <c:v>0.47</c:v>
                </c:pt>
                <c:pt idx="53">
                  <c:v>0.45</c:v>
                </c:pt>
                <c:pt idx="54">
                  <c:v>0.55000000000000004</c:v>
                </c:pt>
                <c:pt idx="55">
                  <c:v>0.47</c:v>
                </c:pt>
                <c:pt idx="56">
                  <c:v>0.5</c:v>
                </c:pt>
                <c:pt idx="57">
                  <c:v>0.64</c:v>
                </c:pt>
                <c:pt idx="58">
                  <c:v>0.61</c:v>
                </c:pt>
                <c:pt idx="59">
                  <c:v>0.55000000000000004</c:v>
                </c:pt>
                <c:pt idx="60">
                  <c:v>0.5</c:v>
                </c:pt>
                <c:pt idx="61">
                  <c:v>0.5</c:v>
                </c:pt>
                <c:pt idx="62">
                  <c:v>0.5</c:v>
                </c:pt>
                <c:pt idx="63">
                  <c:v>0.5</c:v>
                </c:pt>
                <c:pt idx="64">
                  <c:v>0.5</c:v>
                </c:pt>
                <c:pt idx="65">
                  <c:v>0.49</c:v>
                </c:pt>
                <c:pt idx="66">
                  <c:v>0.49</c:v>
                </c:pt>
                <c:pt idx="67">
                  <c:v>0.49</c:v>
                </c:pt>
                <c:pt idx="68">
                  <c:v>0.49</c:v>
                </c:pt>
                <c:pt idx="69">
                  <c:v>0.49</c:v>
                </c:pt>
                <c:pt idx="70">
                  <c:v>0.49</c:v>
                </c:pt>
                <c:pt idx="71">
                  <c:v>0.49</c:v>
                </c:pt>
                <c:pt idx="72">
                  <c:v>0.49</c:v>
                </c:pt>
                <c:pt idx="73">
                  <c:v>0.49</c:v>
                </c:pt>
                <c:pt idx="74">
                  <c:v>0.48</c:v>
                </c:pt>
                <c:pt idx="75">
                  <c:v>0.48</c:v>
                </c:pt>
                <c:pt idx="76">
                  <c:v>0.48</c:v>
                </c:pt>
                <c:pt idx="77">
                  <c:v>0.47</c:v>
                </c:pt>
                <c:pt idx="78">
                  <c:v>0.47</c:v>
                </c:pt>
                <c:pt idx="79">
                  <c:v>0.47</c:v>
                </c:pt>
                <c:pt idx="80">
                  <c:v>0.46</c:v>
                </c:pt>
                <c:pt idx="81">
                  <c:v>0.45</c:v>
                </c:pt>
                <c:pt idx="82">
                  <c:v>0.43</c:v>
                </c:pt>
                <c:pt idx="83">
                  <c:v>0.43</c:v>
                </c:pt>
                <c:pt idx="84">
                  <c:v>0.42</c:v>
                </c:pt>
                <c:pt idx="85">
                  <c:v>0.42</c:v>
                </c:pt>
                <c:pt idx="86">
                  <c:v>0.42</c:v>
                </c:pt>
                <c:pt idx="87">
                  <c:v>0.41</c:v>
                </c:pt>
                <c:pt idx="88">
                  <c:v>0.41</c:v>
                </c:pt>
                <c:pt idx="89">
                  <c:v>0.38</c:v>
                </c:pt>
                <c:pt idx="90">
                  <c:v>0.38</c:v>
                </c:pt>
                <c:pt idx="91">
                  <c:v>0.36</c:v>
                </c:pt>
                <c:pt idx="92">
                  <c:v>0.34</c:v>
                </c:pt>
                <c:pt idx="93">
                  <c:v>0.34</c:v>
                </c:pt>
                <c:pt idx="94">
                  <c:v>0.33</c:v>
                </c:pt>
                <c:pt idx="95">
                  <c:v>0.27</c:v>
                </c:pt>
                <c:pt idx="96">
                  <c:v>0.24</c:v>
                </c:pt>
                <c:pt idx="97">
                  <c:v>0.22</c:v>
                </c:pt>
                <c:pt idx="98">
                  <c:v>0.14000000000000001</c:v>
                </c:pt>
                <c:pt idx="99">
                  <c:v>0.14000000000000001</c:v>
                </c:pt>
                <c:pt idx="100">
                  <c:v>0.11</c:v>
                </c:pt>
                <c:pt idx="101">
                  <c:v>0.08</c:v>
                </c:pt>
                <c:pt idx="102">
                  <c:v>0.04</c:v>
                </c:pt>
                <c:pt idx="103">
                  <c:v>0.04</c:v>
                </c:pt>
                <c:pt idx="104">
                  <c:v>0.03</c:v>
                </c:pt>
                <c:pt idx="105">
                  <c:v>0.02</c:v>
                </c:pt>
                <c:pt idx="106">
                  <c:v>0.02</c:v>
                </c:pt>
                <c:pt idx="107">
                  <c:v>0.02</c:v>
                </c:pt>
                <c:pt idx="108">
                  <c:v>0.02</c:v>
                </c:pt>
                <c:pt idx="109">
                  <c:v>0.02</c:v>
                </c:pt>
                <c:pt idx="110">
                  <c:v>0.02</c:v>
                </c:pt>
                <c:pt idx="111">
                  <c:v>0.01</c:v>
                </c:pt>
              </c:numCache>
            </c:numRef>
          </c:xVal>
          <c:yVal>
            <c:numRef>
              <c:f>Excel_jumia!$E$2:$E$113</c:f>
              <c:numCache>
                <c:formatCode>General</c:formatCode>
                <c:ptCount val="112"/>
                <c:pt idx="0">
                  <c:v>3</c:v>
                </c:pt>
                <c:pt idx="1">
                  <c:v>2</c:v>
                </c:pt>
                <c:pt idx="2">
                  <c:v>2</c:v>
                </c:pt>
                <c:pt idx="3">
                  <c:v>2</c:v>
                </c:pt>
                <c:pt idx="4">
                  <c:v>1</c:v>
                </c:pt>
                <c:pt idx="5">
                  <c:v>1</c:v>
                </c:pt>
                <c:pt idx="6">
                  <c:v>1</c:v>
                </c:pt>
                <c:pt idx="7">
                  <c:v>12</c:v>
                </c:pt>
                <c:pt idx="8">
                  <c:v>5</c:v>
                </c:pt>
                <c:pt idx="9">
                  <c:v>5</c:v>
                </c:pt>
                <c:pt idx="10">
                  <c:v>39</c:v>
                </c:pt>
                <c:pt idx="11">
                  <c:v>20</c:v>
                </c:pt>
                <c:pt idx="12">
                  <c:v>12</c:v>
                </c:pt>
                <c:pt idx="13">
                  <c:v>7</c:v>
                </c:pt>
                <c:pt idx="14">
                  <c:v>55</c:v>
                </c:pt>
                <c:pt idx="15">
                  <c:v>49</c:v>
                </c:pt>
                <c:pt idx="16">
                  <c:v>44</c:v>
                </c:pt>
                <c:pt idx="17">
                  <c:v>24</c:v>
                </c:pt>
                <c:pt idx="18">
                  <c:v>5</c:v>
                </c:pt>
                <c:pt idx="19">
                  <c:v>32</c:v>
                </c:pt>
                <c:pt idx="20">
                  <c:v>6</c:v>
                </c:pt>
                <c:pt idx="21">
                  <c:v>2</c:v>
                </c:pt>
                <c:pt idx="22">
                  <c:v>2</c:v>
                </c:pt>
                <c:pt idx="23">
                  <c:v>14</c:v>
                </c:pt>
                <c:pt idx="24">
                  <c:v>36</c:v>
                </c:pt>
                <c:pt idx="25">
                  <c:v>9</c:v>
                </c:pt>
                <c:pt idx="26">
                  <c:v>9</c:v>
                </c:pt>
                <c:pt idx="27">
                  <c:v>7</c:v>
                </c:pt>
                <c:pt idx="28">
                  <c:v>9</c:v>
                </c:pt>
                <c:pt idx="29">
                  <c:v>20</c:v>
                </c:pt>
                <c:pt idx="30">
                  <c:v>14</c:v>
                </c:pt>
                <c:pt idx="31">
                  <c:v>12</c:v>
                </c:pt>
                <c:pt idx="32">
                  <c:v>15</c:v>
                </c:pt>
                <c:pt idx="33">
                  <c:v>6</c:v>
                </c:pt>
                <c:pt idx="34">
                  <c:v>2</c:v>
                </c:pt>
                <c:pt idx="35">
                  <c:v>1</c:v>
                </c:pt>
                <c:pt idx="36">
                  <c:v>13</c:v>
                </c:pt>
                <c:pt idx="37">
                  <c:v>12</c:v>
                </c:pt>
                <c:pt idx="38">
                  <c:v>5</c:v>
                </c:pt>
                <c:pt idx="39">
                  <c:v>13</c:v>
                </c:pt>
                <c:pt idx="40">
                  <c:v>10</c:v>
                </c:pt>
                <c:pt idx="41">
                  <c:v>5</c:v>
                </c:pt>
                <c:pt idx="42">
                  <c:v>5</c:v>
                </c:pt>
                <c:pt idx="43">
                  <c:v>5</c:v>
                </c:pt>
                <c:pt idx="44">
                  <c:v>1</c:v>
                </c:pt>
                <c:pt idx="45">
                  <c:v>16</c:v>
                </c:pt>
                <c:pt idx="46">
                  <c:v>69</c:v>
                </c:pt>
                <c:pt idx="47">
                  <c:v>15</c:v>
                </c:pt>
                <c:pt idx="48">
                  <c:v>17</c:v>
                </c:pt>
                <c:pt idx="49">
                  <c:v>6</c:v>
                </c:pt>
                <c:pt idx="50">
                  <c:v>7</c:v>
                </c:pt>
                <c:pt idx="51">
                  <c:v>6</c:v>
                </c:pt>
                <c:pt idx="52">
                  <c:v>6</c:v>
                </c:pt>
                <c:pt idx="53">
                  <c:v>6</c:v>
                </c:pt>
                <c:pt idx="54">
                  <c:v>13</c:v>
                </c:pt>
                <c:pt idx="55">
                  <c:v>7</c:v>
                </c:pt>
                <c:pt idx="56">
                  <c:v>1</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numCache>
            </c:numRef>
          </c:yVal>
          <c:smooth val="0"/>
          <c:extLst>
            <c:ext xmlns:c16="http://schemas.microsoft.com/office/drawing/2014/chart" uri="{C3380CC4-5D6E-409C-BE32-E72D297353CC}">
              <c16:uniqueId val="{00000005-6CA3-44C6-AD04-0294E6AFC214}"/>
            </c:ext>
          </c:extLst>
        </c:ser>
        <c:dLbls>
          <c:showLegendKey val="0"/>
          <c:showVal val="0"/>
          <c:showCatName val="0"/>
          <c:showSerName val="0"/>
          <c:showPercent val="0"/>
          <c:showBubbleSize val="0"/>
        </c:dLbls>
        <c:axId val="622880080"/>
        <c:axId val="622905040"/>
      </c:scatterChart>
      <c:valAx>
        <c:axId val="622880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Discount</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05040"/>
        <c:crosses val="autoZero"/>
        <c:crossBetween val="midCat"/>
      </c:valAx>
      <c:valAx>
        <c:axId val="622905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880080"/>
        <c:crosses val="autoZero"/>
        <c:crossBetween val="midCat"/>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Review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Excel_jumia!$E$1</c:f>
              <c:strCache>
                <c:ptCount val="1"/>
                <c:pt idx="0">
                  <c:v>Review</c:v>
                </c:pt>
              </c:strCache>
            </c:strRef>
          </c:tx>
          <c:spPr>
            <a:ln w="28575" cap="rnd">
              <a:solidFill>
                <a:schemeClr val="accent1"/>
              </a:solidFill>
              <a:round/>
            </a:ln>
            <a:effectLst/>
          </c:spPr>
          <c:marker>
            <c:symbol val="none"/>
          </c:marker>
          <c:val>
            <c:numRef>
              <c:f>Excel_jumia!$E$2:$E$113</c:f>
              <c:numCache>
                <c:formatCode>General</c:formatCode>
                <c:ptCount val="112"/>
                <c:pt idx="0">
                  <c:v>3</c:v>
                </c:pt>
                <c:pt idx="1">
                  <c:v>2</c:v>
                </c:pt>
                <c:pt idx="2">
                  <c:v>2</c:v>
                </c:pt>
                <c:pt idx="3">
                  <c:v>2</c:v>
                </c:pt>
                <c:pt idx="4">
                  <c:v>1</c:v>
                </c:pt>
                <c:pt idx="5">
                  <c:v>1</c:v>
                </c:pt>
                <c:pt idx="6">
                  <c:v>1</c:v>
                </c:pt>
                <c:pt idx="7">
                  <c:v>12</c:v>
                </c:pt>
                <c:pt idx="8">
                  <c:v>5</c:v>
                </c:pt>
                <c:pt idx="9">
                  <c:v>5</c:v>
                </c:pt>
                <c:pt idx="10">
                  <c:v>39</c:v>
                </c:pt>
                <c:pt idx="11">
                  <c:v>20</c:v>
                </c:pt>
                <c:pt idx="12">
                  <c:v>12</c:v>
                </c:pt>
                <c:pt idx="13">
                  <c:v>7</c:v>
                </c:pt>
                <c:pt idx="14">
                  <c:v>55</c:v>
                </c:pt>
                <c:pt idx="15">
                  <c:v>49</c:v>
                </c:pt>
                <c:pt idx="16">
                  <c:v>44</c:v>
                </c:pt>
                <c:pt idx="17">
                  <c:v>24</c:v>
                </c:pt>
                <c:pt idx="18">
                  <c:v>5</c:v>
                </c:pt>
                <c:pt idx="19">
                  <c:v>32</c:v>
                </c:pt>
                <c:pt idx="20">
                  <c:v>6</c:v>
                </c:pt>
                <c:pt idx="21">
                  <c:v>2</c:v>
                </c:pt>
                <c:pt idx="22">
                  <c:v>2</c:v>
                </c:pt>
                <c:pt idx="23">
                  <c:v>14</c:v>
                </c:pt>
                <c:pt idx="24">
                  <c:v>36</c:v>
                </c:pt>
                <c:pt idx="25">
                  <c:v>9</c:v>
                </c:pt>
                <c:pt idx="26">
                  <c:v>9</c:v>
                </c:pt>
                <c:pt idx="27">
                  <c:v>7</c:v>
                </c:pt>
                <c:pt idx="28">
                  <c:v>9</c:v>
                </c:pt>
                <c:pt idx="29">
                  <c:v>20</c:v>
                </c:pt>
                <c:pt idx="30">
                  <c:v>14</c:v>
                </c:pt>
                <c:pt idx="31">
                  <c:v>12</c:v>
                </c:pt>
                <c:pt idx="32">
                  <c:v>15</c:v>
                </c:pt>
                <c:pt idx="33">
                  <c:v>6</c:v>
                </c:pt>
                <c:pt idx="34">
                  <c:v>2</c:v>
                </c:pt>
                <c:pt idx="35">
                  <c:v>1</c:v>
                </c:pt>
                <c:pt idx="36">
                  <c:v>13</c:v>
                </c:pt>
                <c:pt idx="37">
                  <c:v>12</c:v>
                </c:pt>
                <c:pt idx="38">
                  <c:v>5</c:v>
                </c:pt>
                <c:pt idx="39">
                  <c:v>13</c:v>
                </c:pt>
                <c:pt idx="40">
                  <c:v>10</c:v>
                </c:pt>
                <c:pt idx="41">
                  <c:v>5</c:v>
                </c:pt>
                <c:pt idx="42">
                  <c:v>5</c:v>
                </c:pt>
                <c:pt idx="43">
                  <c:v>5</c:v>
                </c:pt>
                <c:pt idx="44">
                  <c:v>1</c:v>
                </c:pt>
                <c:pt idx="45">
                  <c:v>16</c:v>
                </c:pt>
                <c:pt idx="46">
                  <c:v>69</c:v>
                </c:pt>
                <c:pt idx="47">
                  <c:v>15</c:v>
                </c:pt>
                <c:pt idx="48">
                  <c:v>17</c:v>
                </c:pt>
                <c:pt idx="49">
                  <c:v>6</c:v>
                </c:pt>
                <c:pt idx="50">
                  <c:v>7</c:v>
                </c:pt>
                <c:pt idx="51">
                  <c:v>6</c:v>
                </c:pt>
                <c:pt idx="52">
                  <c:v>6</c:v>
                </c:pt>
                <c:pt idx="53">
                  <c:v>6</c:v>
                </c:pt>
                <c:pt idx="54">
                  <c:v>13</c:v>
                </c:pt>
                <c:pt idx="55">
                  <c:v>7</c:v>
                </c:pt>
                <c:pt idx="56">
                  <c:v>1</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numCache>
            </c:numRef>
          </c:val>
          <c:smooth val="0"/>
          <c:extLst>
            <c:ext xmlns:c16="http://schemas.microsoft.com/office/drawing/2014/chart" uri="{C3380CC4-5D6E-409C-BE32-E72D297353CC}">
              <c16:uniqueId val="{00000000-2A7D-44C6-9BF8-5AC5283BC741}"/>
            </c:ext>
          </c:extLst>
        </c:ser>
        <c:ser>
          <c:idx val="1"/>
          <c:order val="1"/>
          <c:tx>
            <c:strRef>
              <c:f>Excel_jumia!$F$1</c:f>
              <c:strCache>
                <c:ptCount val="1"/>
                <c:pt idx="0">
                  <c:v>Rating</c:v>
                </c:pt>
              </c:strCache>
            </c:strRef>
          </c:tx>
          <c:spPr>
            <a:ln w="28575" cap="rnd">
              <a:solidFill>
                <a:schemeClr val="accent2"/>
              </a:solidFill>
              <a:round/>
            </a:ln>
            <a:effectLst/>
          </c:spPr>
          <c:marker>
            <c:symbol val="none"/>
          </c:marker>
          <c:val>
            <c:numRef>
              <c:f>Excel_jumia!$F$2:$F$113</c:f>
              <c:numCache>
                <c:formatCode>General</c:formatCode>
                <c:ptCount val="112"/>
                <c:pt idx="0">
                  <c:v>5</c:v>
                </c:pt>
                <c:pt idx="1">
                  <c:v>5</c:v>
                </c:pt>
                <c:pt idx="2">
                  <c:v>5</c:v>
                </c:pt>
                <c:pt idx="3">
                  <c:v>5</c:v>
                </c:pt>
                <c:pt idx="4">
                  <c:v>5</c:v>
                </c:pt>
                <c:pt idx="5">
                  <c:v>5</c:v>
                </c:pt>
                <c:pt idx="6">
                  <c:v>5</c:v>
                </c:pt>
                <c:pt idx="7">
                  <c:v>4.8</c:v>
                </c:pt>
                <c:pt idx="8">
                  <c:v>4.8</c:v>
                </c:pt>
                <c:pt idx="9">
                  <c:v>4.8</c:v>
                </c:pt>
                <c:pt idx="10">
                  <c:v>4.7</c:v>
                </c:pt>
                <c:pt idx="11">
                  <c:v>4.7</c:v>
                </c:pt>
                <c:pt idx="12">
                  <c:v>4.7</c:v>
                </c:pt>
                <c:pt idx="13">
                  <c:v>4.7</c:v>
                </c:pt>
                <c:pt idx="14">
                  <c:v>4.5999999999999996</c:v>
                </c:pt>
                <c:pt idx="15">
                  <c:v>4.5999999999999996</c:v>
                </c:pt>
                <c:pt idx="16">
                  <c:v>4.5999999999999996</c:v>
                </c:pt>
                <c:pt idx="17">
                  <c:v>4.5999999999999996</c:v>
                </c:pt>
                <c:pt idx="18">
                  <c:v>4.5999999999999996</c:v>
                </c:pt>
                <c:pt idx="19">
                  <c:v>4.5</c:v>
                </c:pt>
                <c:pt idx="20">
                  <c:v>4.5</c:v>
                </c:pt>
                <c:pt idx="21">
                  <c:v>4.5</c:v>
                </c:pt>
                <c:pt idx="22">
                  <c:v>4.5</c:v>
                </c:pt>
                <c:pt idx="23">
                  <c:v>4.4000000000000004</c:v>
                </c:pt>
                <c:pt idx="24">
                  <c:v>4.3</c:v>
                </c:pt>
                <c:pt idx="25">
                  <c:v>4.3</c:v>
                </c:pt>
                <c:pt idx="26">
                  <c:v>4.3</c:v>
                </c:pt>
                <c:pt idx="27">
                  <c:v>4.3</c:v>
                </c:pt>
                <c:pt idx="28">
                  <c:v>4.2</c:v>
                </c:pt>
                <c:pt idx="29">
                  <c:v>4.0999999999999996</c:v>
                </c:pt>
                <c:pt idx="30">
                  <c:v>4.0999999999999996</c:v>
                </c:pt>
                <c:pt idx="31">
                  <c:v>4.0999999999999996</c:v>
                </c:pt>
                <c:pt idx="32">
                  <c:v>4</c:v>
                </c:pt>
                <c:pt idx="33">
                  <c:v>4</c:v>
                </c:pt>
                <c:pt idx="34">
                  <c:v>4</c:v>
                </c:pt>
                <c:pt idx="35">
                  <c:v>4</c:v>
                </c:pt>
                <c:pt idx="36">
                  <c:v>3.8</c:v>
                </c:pt>
                <c:pt idx="37">
                  <c:v>3.8</c:v>
                </c:pt>
                <c:pt idx="38">
                  <c:v>3.8</c:v>
                </c:pt>
                <c:pt idx="39">
                  <c:v>3.3</c:v>
                </c:pt>
                <c:pt idx="40">
                  <c:v>3</c:v>
                </c:pt>
                <c:pt idx="41">
                  <c:v>3</c:v>
                </c:pt>
                <c:pt idx="42">
                  <c:v>3</c:v>
                </c:pt>
                <c:pt idx="43">
                  <c:v>3</c:v>
                </c:pt>
                <c:pt idx="44">
                  <c:v>3</c:v>
                </c:pt>
                <c:pt idx="45">
                  <c:v>2.9</c:v>
                </c:pt>
                <c:pt idx="46">
                  <c:v>2.8</c:v>
                </c:pt>
                <c:pt idx="47">
                  <c:v>2.7</c:v>
                </c:pt>
                <c:pt idx="48">
                  <c:v>2.6</c:v>
                </c:pt>
                <c:pt idx="49">
                  <c:v>2.5</c:v>
                </c:pt>
                <c:pt idx="50">
                  <c:v>2.2999999999999998</c:v>
                </c:pt>
                <c:pt idx="51">
                  <c:v>2.2999999999999998</c:v>
                </c:pt>
                <c:pt idx="52">
                  <c:v>2.2000000000000002</c:v>
                </c:pt>
                <c:pt idx="53">
                  <c:v>2.2000000000000002</c:v>
                </c:pt>
                <c:pt idx="54">
                  <c:v>2.1</c:v>
                </c:pt>
                <c:pt idx="55">
                  <c:v>2.1</c:v>
                </c:pt>
                <c:pt idx="56">
                  <c:v>2</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numCache>
            </c:numRef>
          </c:val>
          <c:smooth val="0"/>
          <c:extLst>
            <c:ext xmlns:c16="http://schemas.microsoft.com/office/drawing/2014/chart" uri="{C3380CC4-5D6E-409C-BE32-E72D297353CC}">
              <c16:uniqueId val="{00000001-2A7D-44C6-9BF8-5AC5283BC741}"/>
            </c:ext>
          </c:extLst>
        </c:ser>
        <c:dLbls>
          <c:showLegendKey val="0"/>
          <c:showVal val="0"/>
          <c:showCatName val="0"/>
          <c:showSerName val="0"/>
          <c:showPercent val="0"/>
          <c:showBubbleSize val="0"/>
        </c:dLbls>
        <c:smooth val="0"/>
        <c:axId val="575700400"/>
        <c:axId val="575697520"/>
      </c:lineChart>
      <c:catAx>
        <c:axId val="57570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697520"/>
        <c:crosses val="autoZero"/>
        <c:auto val="1"/>
        <c:lblAlgn val="ctr"/>
        <c:lblOffset val="100"/>
        <c:noMultiLvlLbl val="0"/>
      </c:catAx>
      <c:valAx>
        <c:axId val="57569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700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[Excel_jumia.xlsx]Products by rating category!PivotTable26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Products by</a:t>
            </a:r>
            <a:r>
              <a:rPr lang="en-US" b="1" baseline="0">
                <a:latin typeface="Times New Roman" panose="02020603050405020304" pitchFamily="18" charset="0"/>
                <a:cs typeface="Times New Roman" panose="02020603050405020304" pitchFamily="18" charset="0"/>
              </a:rPr>
              <a:t> Rating Category</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'Products by rating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C1-415A-B4B9-75C9E3189A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C1-415A-B4B9-75C9E3189A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C1-415A-B4B9-75C9E3189A24}"/>
              </c:ext>
            </c:extLst>
          </c:dPt>
          <c:cat>
            <c:strRef>
              <c:f>'Products by rating category'!$A$4:$A$7</c:f>
              <c:strCache>
                <c:ptCount val="3"/>
                <c:pt idx="0">
                  <c:v>Average</c:v>
                </c:pt>
                <c:pt idx="1">
                  <c:v>Excellent</c:v>
                </c:pt>
                <c:pt idx="2">
                  <c:v>Poor</c:v>
                </c:pt>
              </c:strCache>
            </c:strRef>
          </c:cat>
          <c:val>
            <c:numRef>
              <c:f>'Products by rating category'!$B$4:$B$7</c:f>
              <c:numCache>
                <c:formatCode>General</c:formatCode>
                <c:ptCount val="3"/>
                <c:pt idx="0">
                  <c:v>22</c:v>
                </c:pt>
                <c:pt idx="1">
                  <c:v>23</c:v>
                </c:pt>
                <c:pt idx="2">
                  <c:v>67</c:v>
                </c:pt>
              </c:numCache>
            </c:numRef>
          </c:val>
          <c:extLst>
            <c:ext xmlns:c16="http://schemas.microsoft.com/office/drawing/2014/chart" uri="{C3380CC4-5D6E-409C-BE32-E72D297353CC}">
              <c16:uniqueId val="{00000006-F1C1-415A-B4B9-75C9E3189A2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 by Discount Category!PivotTable27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Discount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by Discount Category'!$B$3</c:f>
              <c:strCache>
                <c:ptCount val="1"/>
                <c:pt idx="0">
                  <c:v>Total</c:v>
                </c:pt>
              </c:strCache>
            </c:strRef>
          </c:tx>
          <c:spPr>
            <a:solidFill>
              <a:schemeClr val="accent1"/>
            </a:solidFill>
            <a:ln>
              <a:noFill/>
            </a:ln>
            <a:effectLst/>
          </c:spPr>
          <c:invertIfNegative val="0"/>
          <c:cat>
            <c:strRef>
              <c:f>'Product by Discount Category'!$A$4:$A$7</c:f>
              <c:strCache>
                <c:ptCount val="3"/>
                <c:pt idx="0">
                  <c:v>Average</c:v>
                </c:pt>
                <c:pt idx="1">
                  <c:v>Excellent</c:v>
                </c:pt>
                <c:pt idx="2">
                  <c:v>Poor</c:v>
                </c:pt>
              </c:strCache>
            </c:strRef>
          </c:cat>
          <c:val>
            <c:numRef>
              <c:f>'Product by Discount Category'!$B$4:$B$7</c:f>
              <c:numCache>
                <c:formatCode>General</c:formatCode>
                <c:ptCount val="3"/>
                <c:pt idx="0">
                  <c:v>22</c:v>
                </c:pt>
                <c:pt idx="1">
                  <c:v>23</c:v>
                </c:pt>
                <c:pt idx="2">
                  <c:v>67</c:v>
                </c:pt>
              </c:numCache>
            </c:numRef>
          </c:val>
          <c:extLst>
            <c:ext xmlns:c16="http://schemas.microsoft.com/office/drawing/2014/chart" uri="{C3380CC4-5D6E-409C-BE32-E72D297353CC}">
              <c16:uniqueId val="{00000000-BDFE-45FF-9C4B-F616D417AB68}"/>
            </c:ext>
          </c:extLst>
        </c:ser>
        <c:dLbls>
          <c:showLegendKey val="0"/>
          <c:showVal val="0"/>
          <c:showCatName val="0"/>
          <c:showSerName val="0"/>
          <c:showPercent val="0"/>
          <c:showBubbleSize val="0"/>
        </c:dLbls>
        <c:gapWidth val="219"/>
        <c:overlap val="-27"/>
        <c:axId val="623766992"/>
        <c:axId val="623762192"/>
      </c:barChart>
      <c:catAx>
        <c:axId val="62376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762192"/>
        <c:crosses val="autoZero"/>
        <c:auto val="1"/>
        <c:lblAlgn val="ctr"/>
        <c:lblOffset val="100"/>
        <c:noMultiLvlLbl val="0"/>
      </c:catAx>
      <c:valAx>
        <c:axId val="62376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76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[Excel_jumia.xlsx]Average Rating!PivotTable19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Rating'!$B$3</c:f>
              <c:strCache>
                <c:ptCount val="1"/>
                <c:pt idx="0">
                  <c:v>Total</c:v>
                </c:pt>
              </c:strCache>
            </c:strRef>
          </c:tx>
          <c:spPr>
            <a:solidFill>
              <a:schemeClr val="accent1"/>
            </a:solidFill>
            <a:ln>
              <a:noFill/>
            </a:ln>
            <a:effectLst/>
          </c:spPr>
          <c:invertIfNegative val="0"/>
          <c:cat>
            <c:strRef>
              <c:f>'Average Rating'!$A$4:$A$14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'Average 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6218-4307-B6A3-A7FA7A355591}"/>
            </c:ext>
          </c:extLst>
        </c:ser>
        <c:dLbls>
          <c:showLegendKey val="0"/>
          <c:showVal val="0"/>
          <c:showCatName val="0"/>
          <c:showSerName val="0"/>
          <c:showPercent val="0"/>
          <c:showBubbleSize val="0"/>
        </c:dLbls>
        <c:gapWidth val="219"/>
        <c:overlap val="-27"/>
        <c:axId val="128145776"/>
        <c:axId val="128146256"/>
      </c:barChart>
      <c:catAx>
        <c:axId val="12814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46256"/>
        <c:crosses val="autoZero"/>
        <c:auto val="1"/>
        <c:lblAlgn val="ctr"/>
        <c:lblOffset val="100"/>
        <c:noMultiLvlLbl val="0"/>
      </c:catAx>
      <c:valAx>
        <c:axId val="12814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4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[Excel_jumia.xlsx]Top products by review!PivotTable20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Top</a:t>
            </a:r>
            <a:r>
              <a:rPr lang="en-US" b="1" baseline="0">
                <a:latin typeface="Times New Roman" panose="02020603050405020304" pitchFamily="18" charset="0"/>
                <a:cs typeface="Times New Roman" panose="02020603050405020304" pitchFamily="18" charset="0"/>
              </a:rPr>
              <a:t> Products by review </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by review'!$B$3</c:f>
              <c:strCache>
                <c:ptCount val="1"/>
                <c:pt idx="0">
                  <c:v>Total</c:v>
                </c:pt>
              </c:strCache>
            </c:strRef>
          </c:tx>
          <c:spPr>
            <a:solidFill>
              <a:schemeClr val="accent1"/>
            </a:solidFill>
            <a:ln>
              <a:noFill/>
            </a:ln>
            <a:effectLst/>
          </c:spPr>
          <c:invertIfNegative val="0"/>
          <c:cat>
            <c:strRef>
              <c:f>'Top products by review'!$A$4:$A$14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'Top products by review'!$B$4:$B$14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DD4C-4277-90DA-7E5F1CFBB7D4}"/>
            </c:ext>
          </c:extLst>
        </c:ser>
        <c:dLbls>
          <c:showLegendKey val="0"/>
          <c:showVal val="0"/>
          <c:showCatName val="0"/>
          <c:showSerName val="0"/>
          <c:showPercent val="0"/>
          <c:showBubbleSize val="0"/>
        </c:dLbls>
        <c:gapWidth val="182"/>
        <c:axId val="206119728"/>
        <c:axId val="206119248"/>
      </c:barChart>
      <c:catAx>
        <c:axId val="2061197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Product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6119248"/>
        <c:crosses val="autoZero"/>
        <c:auto val="1"/>
        <c:lblAlgn val="ctr"/>
        <c:lblOffset val="100"/>
        <c:noMultiLvlLbl val="0"/>
      </c:catAx>
      <c:valAx>
        <c:axId val="2061192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Reviews</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1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[Excel_jumia.xlsx]Top Products by discount!PivotTable21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Top</a:t>
            </a:r>
            <a:r>
              <a:rPr lang="en-US" sz="1400" b="1" baseline="0">
                <a:latin typeface="Times New Roman" panose="02020603050405020304" pitchFamily="18" charset="0"/>
                <a:cs typeface="Times New Roman" panose="02020603050405020304" pitchFamily="18" charset="0"/>
              </a:rPr>
              <a:t> Products by Discount %</a:t>
            </a:r>
            <a:endParaRPr lang="en-US" sz="14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by discount'!$B$3</c:f>
              <c:strCache>
                <c:ptCount val="1"/>
                <c:pt idx="0">
                  <c:v>Total</c:v>
                </c:pt>
              </c:strCache>
            </c:strRef>
          </c:tx>
          <c:spPr>
            <a:solidFill>
              <a:schemeClr val="accent1"/>
            </a:solidFill>
            <a:ln>
              <a:noFill/>
            </a:ln>
            <a:effectLst/>
          </c:spPr>
          <c:invertIfNegative val="0"/>
          <c:cat>
            <c:strRef>
              <c:f>'Top Products by discount'!$A$4:$A$14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'Top Products by discount'!$B$4:$B$14</c:f>
              <c:numCache>
                <c:formatCode>0%</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Cache>
            </c:numRef>
          </c:val>
          <c:extLst>
            <c:ext xmlns:c16="http://schemas.microsoft.com/office/drawing/2014/chart" uri="{C3380CC4-5D6E-409C-BE32-E72D297353CC}">
              <c16:uniqueId val="{00000000-DA19-4D46-B62C-AAE7E92390E5}"/>
            </c:ext>
          </c:extLst>
        </c:ser>
        <c:dLbls>
          <c:showLegendKey val="0"/>
          <c:showVal val="0"/>
          <c:showCatName val="0"/>
          <c:showSerName val="0"/>
          <c:showPercent val="0"/>
          <c:showBubbleSize val="0"/>
        </c:dLbls>
        <c:gapWidth val="182"/>
        <c:axId val="574639632"/>
        <c:axId val="574638192"/>
      </c:barChart>
      <c:catAx>
        <c:axId val="574639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Product</a:t>
                </a:r>
                <a:r>
                  <a:rPr lang="en-US" sz="1200" baseline="0">
                    <a:latin typeface="Times New Roman" panose="02020603050405020304" pitchFamily="18" charset="0"/>
                    <a:cs typeface="Times New Roman" panose="02020603050405020304" pitchFamily="18" charset="0"/>
                  </a:rPr>
                  <a:t> </a:t>
                </a:r>
                <a:endParaRPr lang="en-US" sz="1200">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638192"/>
        <c:crosses val="autoZero"/>
        <c:auto val="1"/>
        <c:lblAlgn val="ctr"/>
        <c:lblOffset val="100"/>
        <c:noMultiLvlLbl val="0"/>
      </c:catAx>
      <c:valAx>
        <c:axId val="5746381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Discount</a:t>
                </a:r>
                <a:r>
                  <a:rPr lang="en-US" sz="1200" baseline="0">
                    <a:latin typeface="Times New Roman" panose="02020603050405020304" pitchFamily="18" charset="0"/>
                    <a:cs typeface="Times New Roman" panose="02020603050405020304" pitchFamily="18" charset="0"/>
                  </a:rPr>
                  <a:t> %</a:t>
                </a:r>
                <a:endParaRPr lang="en-US" sz="12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63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[Excel_jumia.xlsx]Products by rating category!PivotTable26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Products by</a:t>
            </a:r>
            <a:r>
              <a:rPr lang="en-US" b="1" baseline="0">
                <a:latin typeface="Times New Roman" panose="02020603050405020304" pitchFamily="18" charset="0"/>
                <a:cs typeface="Times New Roman" panose="02020603050405020304" pitchFamily="18" charset="0"/>
              </a:rPr>
              <a:t> Rating Category</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'Products by rating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AF-4CED-B2C7-C6CDEE8821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AF-4CED-B2C7-C6CDEE8821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AF-4CED-B2C7-C6CDEE8821A5}"/>
              </c:ext>
            </c:extLst>
          </c:dPt>
          <c:cat>
            <c:strRef>
              <c:f>'Products by rating category'!$A$4:$A$7</c:f>
              <c:strCache>
                <c:ptCount val="3"/>
                <c:pt idx="0">
                  <c:v>Average</c:v>
                </c:pt>
                <c:pt idx="1">
                  <c:v>Excellent</c:v>
                </c:pt>
                <c:pt idx="2">
                  <c:v>Poor</c:v>
                </c:pt>
              </c:strCache>
            </c:strRef>
          </c:cat>
          <c:val>
            <c:numRef>
              <c:f>'Products by rating category'!$B$4:$B$7</c:f>
              <c:numCache>
                <c:formatCode>General</c:formatCode>
                <c:ptCount val="3"/>
                <c:pt idx="0">
                  <c:v>22</c:v>
                </c:pt>
                <c:pt idx="1">
                  <c:v>23</c:v>
                </c:pt>
                <c:pt idx="2">
                  <c:v>67</c:v>
                </c:pt>
              </c:numCache>
            </c:numRef>
          </c:val>
          <c:extLst>
            <c:ext xmlns:c16="http://schemas.microsoft.com/office/drawing/2014/chart" uri="{C3380CC4-5D6E-409C-BE32-E72D297353CC}">
              <c16:uniqueId val="{00000000-0378-4E6E-B9DF-2CA2DEE515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 by Discount Category!PivotTable27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Discount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by Discount Category'!$B$3</c:f>
              <c:strCache>
                <c:ptCount val="1"/>
                <c:pt idx="0">
                  <c:v>Total</c:v>
                </c:pt>
              </c:strCache>
            </c:strRef>
          </c:tx>
          <c:spPr>
            <a:solidFill>
              <a:schemeClr val="accent1"/>
            </a:solidFill>
            <a:ln>
              <a:noFill/>
            </a:ln>
            <a:effectLst/>
          </c:spPr>
          <c:invertIfNegative val="0"/>
          <c:cat>
            <c:strRef>
              <c:f>'Product by Discount Category'!$A$4:$A$7</c:f>
              <c:strCache>
                <c:ptCount val="3"/>
                <c:pt idx="0">
                  <c:v>Average</c:v>
                </c:pt>
                <c:pt idx="1">
                  <c:v>Excellent</c:v>
                </c:pt>
                <c:pt idx="2">
                  <c:v>Poor</c:v>
                </c:pt>
              </c:strCache>
            </c:strRef>
          </c:cat>
          <c:val>
            <c:numRef>
              <c:f>'Product by Discount Category'!$B$4:$B$7</c:f>
              <c:numCache>
                <c:formatCode>General</c:formatCode>
                <c:ptCount val="3"/>
                <c:pt idx="0">
                  <c:v>22</c:v>
                </c:pt>
                <c:pt idx="1">
                  <c:v>23</c:v>
                </c:pt>
                <c:pt idx="2">
                  <c:v>67</c:v>
                </c:pt>
              </c:numCache>
            </c:numRef>
          </c:val>
          <c:extLst>
            <c:ext xmlns:c16="http://schemas.microsoft.com/office/drawing/2014/chart" uri="{C3380CC4-5D6E-409C-BE32-E72D297353CC}">
              <c16:uniqueId val="{00000000-AB9F-48F5-B0FA-12E10A3E366F}"/>
            </c:ext>
          </c:extLst>
        </c:ser>
        <c:dLbls>
          <c:showLegendKey val="0"/>
          <c:showVal val="0"/>
          <c:showCatName val="0"/>
          <c:showSerName val="0"/>
          <c:showPercent val="0"/>
          <c:showBubbleSize val="0"/>
        </c:dLbls>
        <c:gapWidth val="219"/>
        <c:overlap val="-27"/>
        <c:axId val="623766992"/>
        <c:axId val="623762192"/>
      </c:barChart>
      <c:catAx>
        <c:axId val="62376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762192"/>
        <c:crosses val="autoZero"/>
        <c:auto val="1"/>
        <c:lblAlgn val="ctr"/>
        <c:lblOffset val="100"/>
        <c:noMultiLvlLbl val="0"/>
      </c:catAx>
      <c:valAx>
        <c:axId val="62376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76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523875</xdr:colOff>
      <xdr:row>1</xdr:row>
      <xdr:rowOff>0</xdr:rowOff>
    </xdr:from>
    <xdr:to>
      <xdr:col>13</xdr:col>
      <xdr:colOff>219075</xdr:colOff>
      <xdr:row>15</xdr:row>
      <xdr:rowOff>76200</xdr:rowOff>
    </xdr:to>
    <xdr:graphicFrame macro="">
      <xdr:nvGraphicFramePr>
        <xdr:cNvPr id="2" name="Chart 1">
          <a:extLst>
            <a:ext uri="{FF2B5EF4-FFF2-40B4-BE49-F238E27FC236}">
              <a16:creationId xmlns:a16="http://schemas.microsoft.com/office/drawing/2014/main" id="{FFEC96D0-C93A-49CE-B51E-722E8567B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381000</xdr:colOff>
      <xdr:row>0</xdr:row>
      <xdr:rowOff>33088</xdr:rowOff>
    </xdr:from>
    <xdr:to>
      <xdr:col>14</xdr:col>
      <xdr:colOff>321342</xdr:colOff>
      <xdr:row>2</xdr:row>
      <xdr:rowOff>33088</xdr:rowOff>
    </xdr:to>
    <xdr:sp macro="" textlink="">
      <xdr:nvSpPr>
        <xdr:cNvPr id="2" name="Rectangle: Rounded Corners 1">
          <a:extLst>
            <a:ext uri="{FF2B5EF4-FFF2-40B4-BE49-F238E27FC236}">
              <a16:creationId xmlns:a16="http://schemas.microsoft.com/office/drawing/2014/main" id="{B2C7A773-21CB-0E73-DC5E-B47650BD6D80}"/>
            </a:ext>
          </a:extLst>
        </xdr:cNvPr>
        <xdr:cNvSpPr/>
      </xdr:nvSpPr>
      <xdr:spPr>
        <a:xfrm>
          <a:off x="3439026" y="33088"/>
          <a:ext cx="544479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Times New Roman" panose="02020603050405020304" pitchFamily="18" charset="0"/>
              <a:cs typeface="Times New Roman" panose="02020603050405020304" pitchFamily="18" charset="0"/>
            </a:rPr>
            <a:t>JUMIA</a:t>
          </a:r>
          <a:r>
            <a:rPr lang="en-US" sz="1600" b="1" baseline="0">
              <a:latin typeface="Times New Roman" panose="02020603050405020304" pitchFamily="18" charset="0"/>
              <a:cs typeface="Times New Roman" panose="02020603050405020304" pitchFamily="18" charset="0"/>
            </a:rPr>
            <a:t> </a:t>
          </a:r>
          <a:r>
            <a:rPr lang="en-US" sz="1600" b="1">
              <a:latin typeface="Times New Roman" panose="02020603050405020304" pitchFamily="18" charset="0"/>
              <a:cs typeface="Times New Roman" panose="02020603050405020304" pitchFamily="18" charset="0"/>
            </a:rPr>
            <a:t>PRODUCT PERFORMANCE</a:t>
          </a:r>
        </a:p>
      </xdr:txBody>
    </xdr:sp>
    <xdr:clientData/>
  </xdr:twoCellAnchor>
  <xdr:twoCellAnchor>
    <xdr:from>
      <xdr:col>4</xdr:col>
      <xdr:colOff>295065</xdr:colOff>
      <xdr:row>3</xdr:row>
      <xdr:rowOff>34548</xdr:rowOff>
    </xdr:from>
    <xdr:to>
      <xdr:col>6</xdr:col>
      <xdr:colOff>314115</xdr:colOff>
      <xdr:row>6</xdr:row>
      <xdr:rowOff>103208</xdr:rowOff>
    </xdr:to>
    <xdr:sp macro="" textlink="kpis!A4">
      <xdr:nvSpPr>
        <xdr:cNvPr id="3" name="Rectangle: Rounded Corners 2">
          <a:extLst>
            <a:ext uri="{FF2B5EF4-FFF2-40B4-BE49-F238E27FC236}">
              <a16:creationId xmlns:a16="http://schemas.microsoft.com/office/drawing/2014/main" id="{C0E63A1C-DF51-D6DD-DE35-EC5934EA6A50}"/>
            </a:ext>
          </a:extLst>
        </xdr:cNvPr>
        <xdr:cNvSpPr/>
      </xdr:nvSpPr>
      <xdr:spPr>
        <a:xfrm>
          <a:off x="2741486" y="606048"/>
          <a:ext cx="1242261" cy="640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bg1"/>
              </a:solidFill>
              <a:latin typeface="Times New Roman" panose="02020603050405020304" pitchFamily="18" charset="0"/>
              <a:cs typeface="Times New Roman" panose="02020603050405020304" pitchFamily="18" charset="0"/>
            </a:rPr>
            <a:t>Total Products</a:t>
          </a:r>
        </a:p>
        <a:p>
          <a:pPr algn="ctr"/>
          <a:fld id="{CD74E2C8-8F9D-460C-8A26-7B6951EFFD3B}" type="TxLink">
            <a:rPr lang="en-US" sz="1200" b="1" i="0" u="none" strike="noStrike">
              <a:solidFill>
                <a:schemeClr val="bg1"/>
              </a:solidFill>
              <a:latin typeface="Times New Roman" panose="02020603050405020304" pitchFamily="18" charset="0"/>
              <a:cs typeface="Times New Roman" panose="02020603050405020304" pitchFamily="18" charset="0"/>
            </a:rPr>
            <a:pPr algn="ctr"/>
            <a:t>723</a:t>
          </a:fld>
          <a:endParaRPr lang="en-US"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594978</xdr:colOff>
      <xdr:row>3</xdr:row>
      <xdr:rowOff>24314</xdr:rowOff>
    </xdr:from>
    <xdr:to>
      <xdr:col>9</xdr:col>
      <xdr:colOff>59573</xdr:colOff>
      <xdr:row>6</xdr:row>
      <xdr:rowOff>79480</xdr:rowOff>
    </xdr:to>
    <xdr:sp macro="" textlink="kpis!B4">
      <xdr:nvSpPr>
        <xdr:cNvPr id="5" name="Rectangle: Rounded Corners 4">
          <a:extLst>
            <a:ext uri="{FF2B5EF4-FFF2-40B4-BE49-F238E27FC236}">
              <a16:creationId xmlns:a16="http://schemas.microsoft.com/office/drawing/2014/main" id="{9378FEE1-E1F4-EEA5-06F1-F86CF5F1DBC4}"/>
            </a:ext>
          </a:extLst>
        </xdr:cNvPr>
        <xdr:cNvSpPr/>
      </xdr:nvSpPr>
      <xdr:spPr>
        <a:xfrm>
          <a:off x="4264610" y="595814"/>
          <a:ext cx="1299410" cy="6266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bg1"/>
              </a:solidFill>
              <a:latin typeface="Times New Roman" panose="02020603050405020304" pitchFamily="18" charset="0"/>
              <a:cs typeface="Times New Roman" panose="02020603050405020304" pitchFamily="18" charset="0"/>
            </a:rPr>
            <a:t>Average Rating</a:t>
          </a:r>
        </a:p>
        <a:p>
          <a:pPr algn="ctr"/>
          <a:r>
            <a:rPr lang="en-US" sz="1200" b="1" i="0" u="none" strike="noStrike">
              <a:solidFill>
                <a:schemeClr val="bg1"/>
              </a:solidFill>
              <a:latin typeface="Times New Roman" panose="02020603050405020304" pitchFamily="18" charset="0"/>
              <a:cs typeface="Times New Roman" panose="02020603050405020304" pitchFamily="18" charset="0"/>
            </a:rPr>
            <a:t> </a:t>
          </a:r>
          <a:fld id="{FC773410-2151-4AC8-9203-9940D74B6017}" type="TxLink">
            <a:rPr lang="en-US" sz="1200" b="1" i="0" u="none" strike="noStrike">
              <a:solidFill>
                <a:schemeClr val="bg1"/>
              </a:solidFill>
              <a:latin typeface="Times New Roman" panose="02020603050405020304" pitchFamily="18" charset="0"/>
              <a:cs typeface="Times New Roman" panose="02020603050405020304" pitchFamily="18" charset="0"/>
            </a:rPr>
            <a:pPr algn="ctr"/>
            <a:t>2.0</a:t>
          </a:fld>
          <a:endParaRPr lang="en-US"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70685</xdr:colOff>
      <xdr:row>3</xdr:row>
      <xdr:rowOff>42612</xdr:rowOff>
    </xdr:from>
    <xdr:to>
      <xdr:col>14</xdr:col>
      <xdr:colOff>146885</xdr:colOff>
      <xdr:row>6</xdr:row>
      <xdr:rowOff>90237</xdr:rowOff>
    </xdr:to>
    <xdr:sp macro="" textlink="kpis!C4">
      <xdr:nvSpPr>
        <xdr:cNvPr id="6" name="Rectangle: Rounded Corners 5">
          <a:extLst>
            <a:ext uri="{FF2B5EF4-FFF2-40B4-BE49-F238E27FC236}">
              <a16:creationId xmlns:a16="http://schemas.microsoft.com/office/drawing/2014/main" id="{CB3D5571-99ED-2156-85D3-E32198FDD7F7}"/>
            </a:ext>
          </a:extLst>
        </xdr:cNvPr>
        <xdr:cNvSpPr/>
      </xdr:nvSpPr>
      <xdr:spPr>
        <a:xfrm>
          <a:off x="7409948" y="614112"/>
          <a:ext cx="1299411" cy="619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bg1"/>
              </a:solidFill>
              <a:latin typeface="Times New Roman" panose="02020603050405020304" pitchFamily="18" charset="0"/>
              <a:cs typeface="Times New Roman" panose="02020603050405020304" pitchFamily="18" charset="0"/>
            </a:rPr>
            <a:t>Total reviews</a:t>
          </a:r>
        </a:p>
        <a:p>
          <a:pPr algn="ctr"/>
          <a:fld id="{889D045B-4A4B-4980-85F1-058486B00FF2}" type="TxLink">
            <a:rPr lang="en-US" sz="1200" b="1" i="0" u="none" strike="noStrike">
              <a:solidFill>
                <a:schemeClr val="bg1"/>
              </a:solidFill>
              <a:latin typeface="Times New Roman" panose="02020603050405020304" pitchFamily="18" charset="0"/>
              <a:cs typeface="Times New Roman" panose="02020603050405020304" pitchFamily="18" charset="0"/>
            </a:rPr>
            <a:pPr algn="ctr"/>
            <a:t>112</a:t>
          </a:fld>
          <a:endParaRPr lang="en-US"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427624</xdr:colOff>
      <xdr:row>3</xdr:row>
      <xdr:rowOff>3968</xdr:rowOff>
    </xdr:from>
    <xdr:to>
      <xdr:col>11</xdr:col>
      <xdr:colOff>541923</xdr:colOff>
      <xdr:row>6</xdr:row>
      <xdr:rowOff>59134</xdr:rowOff>
    </xdr:to>
    <xdr:sp macro="" textlink="">
      <xdr:nvSpPr>
        <xdr:cNvPr id="11" name="Rectangle: Rounded Corners 10">
          <a:extLst>
            <a:ext uri="{FF2B5EF4-FFF2-40B4-BE49-F238E27FC236}">
              <a16:creationId xmlns:a16="http://schemas.microsoft.com/office/drawing/2014/main" id="{45F3EBCD-B088-3C26-46E1-52F44619AC3D}"/>
            </a:ext>
          </a:extLst>
        </xdr:cNvPr>
        <xdr:cNvSpPr/>
      </xdr:nvSpPr>
      <xdr:spPr>
        <a:xfrm>
          <a:off x="5932071" y="575468"/>
          <a:ext cx="1337510" cy="6266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chemeClr val="bg1"/>
              </a:solidFill>
              <a:latin typeface="Times New Roman" panose="02020603050405020304" pitchFamily="18" charset="0"/>
              <a:cs typeface="Times New Roman" panose="02020603050405020304" pitchFamily="18" charset="0"/>
            </a:rPr>
            <a:t>Discount % </a:t>
          </a:r>
        </a:p>
        <a:p>
          <a:pPr algn="ctr"/>
          <a:r>
            <a:rPr lang="en-US" sz="1200" b="1">
              <a:latin typeface="Times New Roman" panose="02020603050405020304" pitchFamily="18" charset="0"/>
              <a:cs typeface="Times New Roman" panose="02020603050405020304" pitchFamily="18" charset="0"/>
            </a:rPr>
            <a:t>37%</a:t>
          </a:r>
        </a:p>
      </xdr:txBody>
    </xdr:sp>
    <xdr:clientData/>
  </xdr:twoCellAnchor>
  <xdr:twoCellAnchor>
    <xdr:from>
      <xdr:col>4</xdr:col>
      <xdr:colOff>133758</xdr:colOff>
      <xdr:row>6</xdr:row>
      <xdr:rowOff>155671</xdr:rowOff>
    </xdr:from>
    <xdr:to>
      <xdr:col>9</xdr:col>
      <xdr:colOff>555424</xdr:colOff>
      <xdr:row>19</xdr:row>
      <xdr:rowOff>80211</xdr:rowOff>
    </xdr:to>
    <xdr:graphicFrame macro="">
      <xdr:nvGraphicFramePr>
        <xdr:cNvPr id="20" name="Chart 19">
          <a:extLst>
            <a:ext uri="{FF2B5EF4-FFF2-40B4-BE49-F238E27FC236}">
              <a16:creationId xmlns:a16="http://schemas.microsoft.com/office/drawing/2014/main" id="{70A30FE8-DECC-4655-AC7C-248F53F22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18833</xdr:colOff>
      <xdr:row>6</xdr:row>
      <xdr:rowOff>148963</xdr:rowOff>
    </xdr:from>
    <xdr:to>
      <xdr:col>15</xdr:col>
      <xdr:colOff>428731</xdr:colOff>
      <xdr:row>19</xdr:row>
      <xdr:rowOff>63798</xdr:rowOff>
    </xdr:to>
    <xdr:graphicFrame macro="">
      <xdr:nvGraphicFramePr>
        <xdr:cNvPr id="22" name="Chart 21">
          <a:extLst>
            <a:ext uri="{FF2B5EF4-FFF2-40B4-BE49-F238E27FC236}">
              <a16:creationId xmlns:a16="http://schemas.microsoft.com/office/drawing/2014/main" id="{42895FF6-C5B7-4DAD-8B2C-161602AD6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530765</xdr:colOff>
      <xdr:row>6</xdr:row>
      <xdr:rowOff>157675</xdr:rowOff>
    </xdr:from>
    <xdr:to>
      <xdr:col>21</xdr:col>
      <xdr:colOff>320842</xdr:colOff>
      <xdr:row>19</xdr:row>
      <xdr:rowOff>72511</xdr:rowOff>
    </xdr:to>
    <xdr:graphicFrame macro="">
      <xdr:nvGraphicFramePr>
        <xdr:cNvPr id="23" name="Chart 22">
          <a:extLst>
            <a:ext uri="{FF2B5EF4-FFF2-40B4-BE49-F238E27FC236}">
              <a16:creationId xmlns:a16="http://schemas.microsoft.com/office/drawing/2014/main" id="{6D79E872-C404-4231-9F97-4605D3B86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170447</xdr:rowOff>
    </xdr:from>
    <xdr:to>
      <xdr:col>4</xdr:col>
      <xdr:colOff>20053</xdr:colOff>
      <xdr:row>12</xdr:row>
      <xdr:rowOff>50133</xdr:rowOff>
    </xdr:to>
    <mc:AlternateContent xmlns:mc="http://schemas.openxmlformats.org/markup-compatibility/2006">
      <mc:Choice xmlns:a14="http://schemas.microsoft.com/office/drawing/2010/main" Requires="a14">
        <xdr:graphicFrame macro="">
          <xdr:nvGraphicFramePr>
            <xdr:cNvPr id="24" name="Rating 2">
              <a:extLst>
                <a:ext uri="{FF2B5EF4-FFF2-40B4-BE49-F238E27FC236}">
                  <a16:creationId xmlns:a16="http://schemas.microsoft.com/office/drawing/2014/main" id="{21F7BD9D-6EBB-4623-9333-41A2CAA73882}"/>
                </a:ext>
              </a:extLst>
            </xdr:cNvPr>
            <xdr:cNvGraphicFramePr/>
          </xdr:nvGraphicFramePr>
          <xdr:xfrm>
            <a:off x="0" y="0"/>
            <a:ext cx="0" cy="0"/>
          </xdr:xfrm>
          <a:graphic>
            <a:graphicData uri="http://schemas.microsoft.com/office/drawing/2010/slicer">
              <sle:slicer xmlns:sle="http://schemas.microsoft.com/office/drawing/2010/slicer" name="Rating 2"/>
            </a:graphicData>
          </a:graphic>
        </xdr:graphicFrame>
      </mc:Choice>
      <mc:Fallback>
        <xdr:sp macro="" textlink="">
          <xdr:nvSpPr>
            <xdr:cNvPr id="0" name=""/>
            <xdr:cNvSpPr>
              <a:spLocks noTextEdit="1"/>
            </xdr:cNvSpPr>
          </xdr:nvSpPr>
          <xdr:spPr>
            <a:xfrm>
              <a:off x="0" y="170447"/>
              <a:ext cx="2466474" cy="2165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60158</xdr:rowOff>
    </xdr:from>
    <xdr:to>
      <xdr:col>4</xdr:col>
      <xdr:colOff>22678</xdr:colOff>
      <xdr:row>34</xdr:row>
      <xdr:rowOff>140368</xdr:rowOff>
    </xdr:to>
    <mc:AlternateContent xmlns:mc="http://schemas.openxmlformats.org/markup-compatibility/2006">
      <mc:Choice xmlns:a14="http://schemas.microsoft.com/office/drawing/2010/main" Requires="a14">
        <xdr:graphicFrame macro="">
          <xdr:nvGraphicFramePr>
            <xdr:cNvPr id="25" name="Review 1">
              <a:extLst>
                <a:ext uri="{FF2B5EF4-FFF2-40B4-BE49-F238E27FC236}">
                  <a16:creationId xmlns:a16="http://schemas.microsoft.com/office/drawing/2014/main" id="{0E6DD627-3F59-4757-A996-EF6EC8D8E4C6}"/>
                </a:ext>
              </a:extLst>
            </xdr:cNvPr>
            <xdr:cNvGraphicFramePr/>
          </xdr:nvGraphicFramePr>
          <xdr:xfrm>
            <a:off x="0" y="0"/>
            <a:ext cx="0" cy="0"/>
          </xdr:xfrm>
          <a:graphic>
            <a:graphicData uri="http://schemas.microsoft.com/office/drawing/2010/slicer">
              <sle:slicer xmlns:sle="http://schemas.microsoft.com/office/drawing/2010/slicer" name="Review 1"/>
            </a:graphicData>
          </a:graphic>
        </xdr:graphicFrame>
      </mc:Choice>
      <mc:Fallback>
        <xdr:sp macro="" textlink="">
          <xdr:nvSpPr>
            <xdr:cNvPr id="0" name=""/>
            <xdr:cNvSpPr>
              <a:spLocks noTextEdit="1"/>
            </xdr:cNvSpPr>
          </xdr:nvSpPr>
          <xdr:spPr>
            <a:xfrm>
              <a:off x="0" y="2346158"/>
              <a:ext cx="2469099" cy="4271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170447</xdr:rowOff>
    </xdr:from>
    <xdr:to>
      <xdr:col>4</xdr:col>
      <xdr:colOff>10025</xdr:colOff>
      <xdr:row>49</xdr:row>
      <xdr:rowOff>100263</xdr:rowOff>
    </xdr:to>
    <mc:AlternateContent xmlns:mc="http://schemas.openxmlformats.org/markup-compatibility/2006">
      <mc:Choice xmlns:a14="http://schemas.microsoft.com/office/drawing/2010/main" Requires="a14">
        <xdr:graphicFrame macro="">
          <xdr:nvGraphicFramePr>
            <xdr:cNvPr id="27" name="Discount  1">
              <a:extLst>
                <a:ext uri="{FF2B5EF4-FFF2-40B4-BE49-F238E27FC236}">
                  <a16:creationId xmlns:a16="http://schemas.microsoft.com/office/drawing/2014/main" id="{3C198F3E-4E6B-4E03-984C-589B6FC40450}"/>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dr:sp macro="" textlink="">
          <xdr:nvSpPr>
            <xdr:cNvPr id="0" name=""/>
            <xdr:cNvSpPr>
              <a:spLocks noTextEdit="1"/>
            </xdr:cNvSpPr>
          </xdr:nvSpPr>
          <xdr:spPr>
            <a:xfrm>
              <a:off x="0" y="6647447"/>
              <a:ext cx="2456446" cy="27873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164336</xdr:colOff>
      <xdr:row>19</xdr:row>
      <xdr:rowOff>151905</xdr:rowOff>
    </xdr:from>
    <xdr:to>
      <xdr:col>13</xdr:col>
      <xdr:colOff>150395</xdr:colOff>
      <xdr:row>34</xdr:row>
      <xdr:rowOff>35337</xdr:rowOff>
    </xdr:to>
    <xdr:graphicFrame macro="">
      <xdr:nvGraphicFramePr>
        <xdr:cNvPr id="28" name="Chart 27">
          <a:extLst>
            <a:ext uri="{FF2B5EF4-FFF2-40B4-BE49-F238E27FC236}">
              <a16:creationId xmlns:a16="http://schemas.microsoft.com/office/drawing/2014/main" id="{51851FD6-2FD3-40D3-BD67-8939086F6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310816</xdr:colOff>
      <xdr:row>19</xdr:row>
      <xdr:rowOff>150395</xdr:rowOff>
    </xdr:from>
    <xdr:to>
      <xdr:col>21</xdr:col>
      <xdr:colOff>340894</xdr:colOff>
      <xdr:row>34</xdr:row>
      <xdr:rowOff>81906</xdr:rowOff>
    </xdr:to>
    <xdr:graphicFrame macro="">
      <xdr:nvGraphicFramePr>
        <xdr:cNvPr id="29" name="Chart 28">
          <a:extLst>
            <a:ext uri="{FF2B5EF4-FFF2-40B4-BE49-F238E27FC236}">
              <a16:creationId xmlns:a16="http://schemas.microsoft.com/office/drawing/2014/main" id="{5400BECA-13D5-4568-86BE-51C89B7B7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178779</xdr:colOff>
      <xdr:row>35</xdr:row>
      <xdr:rowOff>21770</xdr:rowOff>
    </xdr:from>
    <xdr:to>
      <xdr:col>13</xdr:col>
      <xdr:colOff>120316</xdr:colOff>
      <xdr:row>49</xdr:row>
      <xdr:rowOff>100238</xdr:rowOff>
    </xdr:to>
    <xdr:graphicFrame macro="">
      <xdr:nvGraphicFramePr>
        <xdr:cNvPr id="30" name="Chart 29">
          <a:extLst>
            <a:ext uri="{FF2B5EF4-FFF2-40B4-BE49-F238E27FC236}">
              <a16:creationId xmlns:a16="http://schemas.microsoft.com/office/drawing/2014/main" id="{0A3A4B4D-CD57-4159-819B-6C15A4586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290765</xdr:colOff>
      <xdr:row>35</xdr:row>
      <xdr:rowOff>49199</xdr:rowOff>
    </xdr:from>
    <xdr:to>
      <xdr:col>21</xdr:col>
      <xdr:colOff>350921</xdr:colOff>
      <xdr:row>49</xdr:row>
      <xdr:rowOff>127667</xdr:rowOff>
    </xdr:to>
    <xdr:graphicFrame macro="">
      <xdr:nvGraphicFramePr>
        <xdr:cNvPr id="31" name="Chart 30">
          <a:extLst>
            <a:ext uri="{FF2B5EF4-FFF2-40B4-BE49-F238E27FC236}">
              <a16:creationId xmlns:a16="http://schemas.microsoft.com/office/drawing/2014/main" id="{7C275AA0-5493-4ACF-8FBC-18D766EB8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371475</xdr:colOff>
      <xdr:row>2</xdr:row>
      <xdr:rowOff>0</xdr:rowOff>
    </xdr:from>
    <xdr:to>
      <xdr:col>11</xdr:col>
      <xdr:colOff>66675</xdr:colOff>
      <xdr:row>16</xdr:row>
      <xdr:rowOff>76200</xdr:rowOff>
    </xdr:to>
    <xdr:graphicFrame macro="">
      <xdr:nvGraphicFramePr>
        <xdr:cNvPr id="2" name="Chart 1">
          <a:extLst>
            <a:ext uri="{FF2B5EF4-FFF2-40B4-BE49-F238E27FC236}">
              <a16:creationId xmlns:a16="http://schemas.microsoft.com/office/drawing/2014/main" id="{9DC7FF4F-A5EE-C16E-DF91-ED7993A9B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76200</xdr:colOff>
      <xdr:row>3</xdr:row>
      <xdr:rowOff>9525</xdr:rowOff>
    </xdr:from>
    <xdr:to>
      <xdr:col>15</xdr:col>
      <xdr:colOff>76200</xdr:colOff>
      <xdr:row>16</xdr:row>
      <xdr:rowOff>57150</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1D100210-91D8-1893-0890-08FAAA5835F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944350" y="581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485775</xdr:colOff>
      <xdr:row>2</xdr:row>
      <xdr:rowOff>9525</xdr:rowOff>
    </xdr:from>
    <xdr:to>
      <xdr:col>18</xdr:col>
      <xdr:colOff>485775</xdr:colOff>
      <xdr:row>15</xdr:row>
      <xdr:rowOff>57150</xdr:rowOff>
    </xdr:to>
    <mc:AlternateContent xmlns:mc="http://schemas.openxmlformats.org/markup-compatibility/2006">
      <mc:Choice xmlns:a14="http://schemas.microsoft.com/office/drawing/2010/main" Requires="a14">
        <xdr:graphicFrame macro="">
          <xdr:nvGraphicFramePr>
            <xdr:cNvPr id="4" name="Rating 1">
              <a:extLst>
                <a:ext uri="{FF2B5EF4-FFF2-40B4-BE49-F238E27FC236}">
                  <a16:creationId xmlns:a16="http://schemas.microsoft.com/office/drawing/2014/main" id="{9789637A-9CAD-55DB-6C71-53109E76817E}"/>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14182725" y="390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571500</xdr:colOff>
      <xdr:row>1</xdr:row>
      <xdr:rowOff>114300</xdr:rowOff>
    </xdr:from>
    <xdr:to>
      <xdr:col>10</xdr:col>
      <xdr:colOff>266700</xdr:colOff>
      <xdr:row>16</xdr:row>
      <xdr:rowOff>0</xdr:rowOff>
    </xdr:to>
    <xdr:graphicFrame macro="">
      <xdr:nvGraphicFramePr>
        <xdr:cNvPr id="2" name="Chart 1">
          <a:extLst>
            <a:ext uri="{FF2B5EF4-FFF2-40B4-BE49-F238E27FC236}">
              <a16:creationId xmlns:a16="http://schemas.microsoft.com/office/drawing/2014/main" id="{97561C75-CF33-1EE1-A9BB-70246D7073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304800</xdr:colOff>
      <xdr:row>2</xdr:row>
      <xdr:rowOff>152400</xdr:rowOff>
    </xdr:from>
    <xdr:to>
      <xdr:col>19</xdr:col>
      <xdr:colOff>304800</xdr:colOff>
      <xdr:row>16</xdr:row>
      <xdr:rowOff>9525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31D349EA-6779-6F49-DC32-5675E2A4559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4192250" y="533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571500</xdr:colOff>
      <xdr:row>3</xdr:row>
      <xdr:rowOff>9525</xdr:rowOff>
    </xdr:from>
    <xdr:to>
      <xdr:col>15</xdr:col>
      <xdr:colOff>571500</xdr:colOff>
      <xdr:row>16</xdr:row>
      <xdr:rowOff>57150</xdr:rowOff>
    </xdr:to>
    <mc:AlternateContent xmlns:mc="http://schemas.openxmlformats.org/markup-compatibility/2006">
      <mc:Choice xmlns:a14="http://schemas.microsoft.com/office/drawing/2010/main" Requires="a14">
        <xdr:graphicFrame macro="">
          <xdr:nvGraphicFramePr>
            <xdr:cNvPr id="4" name="Review">
              <a:extLst>
                <a:ext uri="{FF2B5EF4-FFF2-40B4-BE49-F238E27FC236}">
                  <a16:creationId xmlns:a16="http://schemas.microsoft.com/office/drawing/2014/main" id="{3A373E91-307D-7B91-7C2F-DB94CF9AC350}"/>
                </a:ext>
              </a:extLst>
            </xdr:cNvPr>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dr:sp macro="" textlink="">
          <xdr:nvSpPr>
            <xdr:cNvPr id="0" name=""/>
            <xdr:cNvSpPr>
              <a:spLocks noTextEdit="1"/>
            </xdr:cNvSpPr>
          </xdr:nvSpPr>
          <xdr:spPr>
            <a:xfrm>
              <a:off x="12020550" y="581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171450</xdr:colOff>
      <xdr:row>2</xdr:row>
      <xdr:rowOff>114300</xdr:rowOff>
    </xdr:from>
    <xdr:to>
      <xdr:col>10</xdr:col>
      <xdr:colOff>476250</xdr:colOff>
      <xdr:row>17</xdr:row>
      <xdr:rowOff>0</xdr:rowOff>
    </xdr:to>
    <xdr:graphicFrame macro="">
      <xdr:nvGraphicFramePr>
        <xdr:cNvPr id="2" name="Chart 1">
          <a:extLst>
            <a:ext uri="{FF2B5EF4-FFF2-40B4-BE49-F238E27FC236}">
              <a16:creationId xmlns:a16="http://schemas.microsoft.com/office/drawing/2014/main" id="{A65E7A6D-E963-C320-805D-DC394E44A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390525</xdr:colOff>
      <xdr:row>2</xdr:row>
      <xdr:rowOff>123825</xdr:rowOff>
    </xdr:from>
    <xdr:to>
      <xdr:col>19</xdr:col>
      <xdr:colOff>390525</xdr:colOff>
      <xdr:row>15</xdr:row>
      <xdr:rowOff>171450</xdr:rowOff>
    </xdr:to>
    <mc:AlternateContent xmlns:mc="http://schemas.openxmlformats.org/markup-compatibility/2006">
      <mc:Choice xmlns:a14="http://schemas.microsoft.com/office/drawing/2010/main" Requires="a14">
        <xdr:graphicFrame macro="">
          <xdr:nvGraphicFramePr>
            <xdr:cNvPr id="9" name="Product 2">
              <a:extLst>
                <a:ext uri="{FF2B5EF4-FFF2-40B4-BE49-F238E27FC236}">
                  <a16:creationId xmlns:a16="http://schemas.microsoft.com/office/drawing/2014/main" id="{EDAC8274-FE7A-DDAA-062B-6DDD8C97992E}"/>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15154275" y="504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133350</xdr:colOff>
      <xdr:row>2</xdr:row>
      <xdr:rowOff>114300</xdr:rowOff>
    </xdr:from>
    <xdr:to>
      <xdr:col>16</xdr:col>
      <xdr:colOff>133350</xdr:colOff>
      <xdr:row>15</xdr:row>
      <xdr:rowOff>161925</xdr:rowOff>
    </xdr:to>
    <mc:AlternateContent xmlns:mc="http://schemas.openxmlformats.org/markup-compatibility/2006">
      <mc:Choice xmlns:a14="http://schemas.microsoft.com/office/drawing/2010/main" Requires="a14">
        <xdr:graphicFrame macro="">
          <xdr:nvGraphicFramePr>
            <xdr:cNvPr id="10" name="Discount ">
              <a:extLst>
                <a:ext uri="{FF2B5EF4-FFF2-40B4-BE49-F238E27FC236}">
                  <a16:creationId xmlns:a16="http://schemas.microsoft.com/office/drawing/2014/main" id="{7268494E-A28C-9A7F-A627-8BF239F8E7F2}"/>
                </a:ext>
              </a:extLst>
            </xdr:cNvPr>
            <xdr:cNvGraphicFramePr/>
          </xdr:nvGraphicFramePr>
          <xdr:xfrm>
            <a:off x="0" y="0"/>
            <a:ext cx="0" cy="0"/>
          </xdr:xfrm>
          <a:graphic>
            <a:graphicData uri="http://schemas.microsoft.com/office/drawing/2010/slicer">
              <sle:slicer xmlns:sle="http://schemas.microsoft.com/office/drawing/2010/slicer" name="Discount "/>
            </a:graphicData>
          </a:graphic>
        </xdr:graphicFrame>
      </mc:Choice>
      <mc:Fallback>
        <xdr:sp macro="" textlink="">
          <xdr:nvSpPr>
            <xdr:cNvPr id="0" name=""/>
            <xdr:cNvSpPr>
              <a:spLocks noTextEdit="1"/>
            </xdr:cNvSpPr>
          </xdr:nvSpPr>
          <xdr:spPr>
            <a:xfrm>
              <a:off x="13068300" y="495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381000</xdr:colOff>
      <xdr:row>0</xdr:row>
      <xdr:rowOff>123825</xdr:rowOff>
    </xdr:from>
    <xdr:to>
      <xdr:col>11</xdr:col>
      <xdr:colOff>76200</xdr:colOff>
      <xdr:row>15</xdr:row>
      <xdr:rowOff>9525</xdr:rowOff>
    </xdr:to>
    <xdr:graphicFrame macro="">
      <xdr:nvGraphicFramePr>
        <xdr:cNvPr id="2" name="Chart 1">
          <a:extLst>
            <a:ext uri="{FF2B5EF4-FFF2-40B4-BE49-F238E27FC236}">
              <a16:creationId xmlns:a16="http://schemas.microsoft.com/office/drawing/2014/main" id="{A06575C9-4607-E41F-2606-347652E77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133350</xdr:colOff>
      <xdr:row>0</xdr:row>
      <xdr:rowOff>161925</xdr:rowOff>
    </xdr:from>
    <xdr:to>
      <xdr:col>12</xdr:col>
      <xdr:colOff>438150</xdr:colOff>
      <xdr:row>15</xdr:row>
      <xdr:rowOff>47625</xdr:rowOff>
    </xdr:to>
    <xdr:graphicFrame macro="">
      <xdr:nvGraphicFramePr>
        <xdr:cNvPr id="2" name="Chart 1">
          <a:extLst>
            <a:ext uri="{FF2B5EF4-FFF2-40B4-BE49-F238E27FC236}">
              <a16:creationId xmlns:a16="http://schemas.microsoft.com/office/drawing/2014/main" id="{EDD2DA54-D2D8-232D-8C45-2EAB1EC33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ita Singh" refreshedDate="46100.469723842594" createdVersion="8" refreshedVersion="8" minRefreshableVersion="3" recordCount="112" xr:uid="{FBB03E8B-4E4A-4F82-A937-8859FD4749D6}">
  <cacheSource type="worksheet">
    <worksheetSource ref="A1:I113" sheet="Excel_jumia"/>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New current price" numFmtId="0">
      <sharedItems containsSemiMixedTypes="0" containsString="0" containsNumber="1" containsInteger="1" minValue="38" maxValue="3750" count="103">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n v="450"/>
        <n v="169"/>
      </sharedItems>
    </cacheField>
    <cacheField name="Old price" numFmtId="0">
      <sharedItems containsSemiMixedTypes="0" containsString="0" containsNumber="1" containsInteger="1" minValue="80" maxValue="6143"/>
    </cacheField>
    <cacheField name="Discount "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fieldGroup base="3">
        <rangePr startNum="0.01" endNum="0.64" groupInterval="0.1"/>
        <groupItems count="9">
          <s v="&lt;0.01"/>
          <s v="0.01-0.11"/>
          <s v="0.11-0.21"/>
          <s v="0.21-0.31"/>
          <s v="0.31-0.41"/>
          <s v="0.41-0.51"/>
          <s v="0.51-0.61"/>
          <s v="0.61-0.71"/>
          <s v="&gt;0.71"/>
        </groupItems>
      </fieldGroup>
    </cacheField>
    <cacheField name="Review" numFmtId="0">
      <sharedItems containsSemiMixedTypes="0" containsString="0" containsNumber="1" containsInteger="1" minValue="0" maxValue="69" count="24">
        <n v="2"/>
        <n v="14"/>
        <n v="24"/>
        <n v="7"/>
        <n v="5"/>
        <n v="15"/>
        <n v="55"/>
        <n v="12"/>
        <n v="39"/>
        <n v="6"/>
        <n v="9"/>
        <n v="3"/>
        <n v="44"/>
        <n v="13"/>
        <n v="0"/>
        <n v="49"/>
        <n v="20"/>
        <n v="32"/>
        <n v="1"/>
        <n v="36"/>
        <n v="10"/>
        <n v="69"/>
        <n v="16"/>
        <n v="17"/>
      </sharedItems>
    </cacheField>
    <cacheField name="Rating" numFmtId="0">
      <sharedItems containsSemiMixedTypes="0" containsString="0" containsNumber="1" minValue="0" maxValue="5" count="23">
        <n v="4.5"/>
        <n v="4.0999999999999996"/>
        <n v="4.5999999999999996"/>
        <n v="4.7"/>
        <n v="4.8"/>
        <n v="4"/>
        <n v="3.8"/>
        <n v="4.2"/>
        <n v="5"/>
        <n v="3.3"/>
        <n v="0"/>
        <n v="4.4000000000000004"/>
        <n v="4.3"/>
        <n v="2.5"/>
        <n v="3"/>
        <n v="2.1"/>
        <n v="2.8"/>
        <n v="2.7"/>
        <n v="2.9"/>
        <n v="2.2000000000000002"/>
        <n v="2.2999999999999998"/>
        <n v="2.6"/>
        <n v="2"/>
      </sharedItems>
      <fieldGroup base="5">
        <rangePr startNum="0" endNum="5"/>
        <groupItems count="7">
          <s v="&lt;0"/>
          <s v="0-1"/>
          <s v="1-2"/>
          <s v="2-3"/>
          <s v="3-4"/>
          <s v="4-5"/>
          <s v="&gt;5"/>
        </groupItems>
      </fieldGroup>
    </cacheField>
    <cacheField name="Discount amount" numFmtId="0">
      <sharedItems containsSemiMixedTypes="0" containsString="0" containsNumber="1" containsInteger="1" minValue="24" maxValue="2585" count="103">
        <n v="575"/>
        <n v="472"/>
        <n v="724"/>
        <n v="919"/>
        <n v="616"/>
        <n v="291"/>
        <n v="713"/>
        <n v="592"/>
        <n v="1526"/>
        <n v="1329"/>
        <n v="200"/>
        <n v="510"/>
        <n v="483"/>
        <n v="359"/>
        <n v="819"/>
        <n v="352"/>
        <n v="165"/>
        <n v="1946"/>
        <n v="700"/>
        <n v="968"/>
        <n v="42"/>
        <n v="1360"/>
        <n v="470"/>
        <n v="500"/>
        <n v="2452"/>
        <n v="227"/>
        <n v="640"/>
        <n v="741"/>
        <n v="1880"/>
        <n v="197"/>
        <n v="1670"/>
        <n v="710"/>
        <n v="719"/>
        <n v="1070"/>
        <n v="189"/>
        <n v="267"/>
        <n v="900"/>
        <n v="1721"/>
        <n v="456"/>
        <n v="238"/>
        <n v="450"/>
        <n v="37"/>
        <n v="1001"/>
        <n v="595"/>
        <n v="645"/>
        <n v="750"/>
        <n v="305"/>
        <n v="301"/>
        <n v="39"/>
        <n v="85"/>
        <n v="40"/>
        <n v="544"/>
        <n v="401"/>
        <n v="644"/>
        <n v="768"/>
        <n v="1011"/>
        <n v="497"/>
        <n v="330"/>
        <n v="528"/>
        <n v="2585"/>
        <n v="428"/>
        <n v="355"/>
        <n v="335"/>
        <n v="824"/>
        <n v="1000"/>
        <n v="2393"/>
        <n v="318"/>
        <n v="940"/>
        <n v="257"/>
        <n v="390"/>
        <n v="846"/>
        <n v="1418"/>
        <n v="695"/>
        <n v="67"/>
        <n v="220"/>
        <n v="1010"/>
        <n v="941"/>
        <n v="830"/>
        <n v="33"/>
        <n v="317"/>
        <n v="169"/>
        <n v="233"/>
        <n v="263"/>
        <n v="101"/>
        <n v="631"/>
        <n v="231"/>
        <n v="850"/>
        <n v="1200"/>
        <n v="95"/>
        <n v="800"/>
        <n v="134"/>
        <n v="153"/>
        <n v="504"/>
        <n v="794"/>
        <n v="948"/>
        <n v="24"/>
        <n v="62"/>
        <n v="587"/>
        <n v="620"/>
        <n v="41"/>
        <n v="31"/>
        <n v="354"/>
        <n v="151"/>
      </sharedItems>
    </cacheField>
    <cacheField name="Rating Category" numFmtId="0">
      <sharedItems count="3">
        <s v="Excellent"/>
        <s v="Average"/>
        <s v="Poor"/>
      </sharedItems>
    </cacheField>
    <cacheField name="Discount Category" numFmtId="2">
      <sharedItems count="3">
        <s v="Medium Discount"/>
        <s v="High Discount"/>
        <s v="Low Discount"/>
      </sharedItems>
    </cacheField>
  </cacheFields>
  <extLst>
    <ext xmlns:x14="http://schemas.microsoft.com/office/spreadsheetml/2009/9/main" uri="{725AE2AE-9491-48be-B2B4-4EB974FC3084}">
      <x14:pivotCacheDefinition pivotCacheId="1016025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n v="1525"/>
    <x v="0"/>
    <x v="0"/>
    <x v="0"/>
    <x v="0"/>
    <x v="0"/>
    <x v="0"/>
  </r>
  <r>
    <x v="1"/>
    <x v="1"/>
    <n v="999"/>
    <x v="1"/>
    <x v="1"/>
    <x v="1"/>
    <x v="1"/>
    <x v="1"/>
    <x v="1"/>
  </r>
  <r>
    <x v="2"/>
    <x v="2"/>
    <n v="2923"/>
    <x v="2"/>
    <x v="2"/>
    <x v="2"/>
    <x v="2"/>
    <x v="0"/>
    <x v="0"/>
  </r>
  <r>
    <x v="3"/>
    <x v="3"/>
    <n v="2499"/>
    <x v="3"/>
    <x v="3"/>
    <x v="3"/>
    <x v="3"/>
    <x v="0"/>
    <x v="0"/>
  </r>
  <r>
    <x v="4"/>
    <x v="4"/>
    <n v="2356"/>
    <x v="4"/>
    <x v="4"/>
    <x v="4"/>
    <x v="4"/>
    <x v="0"/>
    <x v="0"/>
  </r>
  <r>
    <x v="5"/>
    <x v="5"/>
    <n v="3290"/>
    <x v="5"/>
    <x v="5"/>
    <x v="5"/>
    <x v="5"/>
    <x v="1"/>
    <x v="2"/>
  </r>
  <r>
    <x v="6"/>
    <x v="6"/>
    <n v="3032"/>
    <x v="6"/>
    <x v="6"/>
    <x v="2"/>
    <x v="6"/>
    <x v="0"/>
    <x v="0"/>
  </r>
  <r>
    <x v="7"/>
    <x v="7"/>
    <n v="1580"/>
    <x v="3"/>
    <x v="0"/>
    <x v="5"/>
    <x v="7"/>
    <x v="1"/>
    <x v="0"/>
  </r>
  <r>
    <x v="8"/>
    <x v="8"/>
    <n v="2800"/>
    <x v="7"/>
    <x v="4"/>
    <x v="4"/>
    <x v="8"/>
    <x v="0"/>
    <x v="1"/>
  </r>
  <r>
    <x v="9"/>
    <x v="9"/>
    <n v="2929"/>
    <x v="8"/>
    <x v="4"/>
    <x v="6"/>
    <x v="9"/>
    <x v="1"/>
    <x v="1"/>
  </r>
  <r>
    <x v="10"/>
    <x v="10"/>
    <n v="999"/>
    <x v="9"/>
    <x v="7"/>
    <x v="1"/>
    <x v="10"/>
    <x v="1"/>
    <x v="0"/>
  </r>
  <r>
    <x v="11"/>
    <x v="11"/>
    <n v="1500"/>
    <x v="10"/>
    <x v="8"/>
    <x v="3"/>
    <x v="11"/>
    <x v="0"/>
    <x v="0"/>
  </r>
  <r>
    <x v="12"/>
    <x v="12"/>
    <n v="1035"/>
    <x v="1"/>
    <x v="7"/>
    <x v="4"/>
    <x v="12"/>
    <x v="0"/>
    <x v="1"/>
  </r>
  <r>
    <x v="13"/>
    <x v="13"/>
    <n v="860"/>
    <x v="11"/>
    <x v="9"/>
    <x v="0"/>
    <x v="13"/>
    <x v="0"/>
    <x v="1"/>
  </r>
  <r>
    <x v="14"/>
    <x v="14"/>
    <n v="2499"/>
    <x v="12"/>
    <x v="10"/>
    <x v="7"/>
    <x v="14"/>
    <x v="1"/>
    <x v="0"/>
  </r>
  <r>
    <x v="15"/>
    <x v="15"/>
    <n v="684"/>
    <x v="13"/>
    <x v="0"/>
    <x v="8"/>
    <x v="15"/>
    <x v="0"/>
    <x v="1"/>
  </r>
  <r>
    <x v="16"/>
    <x v="16"/>
    <n v="360"/>
    <x v="14"/>
    <x v="0"/>
    <x v="8"/>
    <x v="16"/>
    <x v="0"/>
    <x v="1"/>
  </r>
  <r>
    <x v="17"/>
    <x v="17"/>
    <n v="3971"/>
    <x v="15"/>
    <x v="11"/>
    <x v="8"/>
    <x v="17"/>
    <x v="0"/>
    <x v="1"/>
  </r>
  <r>
    <x v="18"/>
    <x v="5"/>
    <n v="3699"/>
    <x v="16"/>
    <x v="4"/>
    <x v="2"/>
    <x v="18"/>
    <x v="0"/>
    <x v="2"/>
  </r>
  <r>
    <x v="19"/>
    <x v="18"/>
    <n v="1966"/>
    <x v="15"/>
    <x v="12"/>
    <x v="2"/>
    <x v="19"/>
    <x v="0"/>
    <x v="1"/>
  </r>
  <r>
    <x v="20"/>
    <x v="19"/>
    <n v="80"/>
    <x v="17"/>
    <x v="13"/>
    <x v="9"/>
    <x v="20"/>
    <x v="1"/>
    <x v="1"/>
  </r>
  <r>
    <x v="21"/>
    <x v="20"/>
    <n v="3220"/>
    <x v="11"/>
    <x v="14"/>
    <x v="10"/>
    <x v="21"/>
    <x v="2"/>
    <x v="1"/>
  </r>
  <r>
    <x v="22"/>
    <x v="21"/>
    <n v="1350"/>
    <x v="18"/>
    <x v="9"/>
    <x v="5"/>
    <x v="22"/>
    <x v="1"/>
    <x v="0"/>
  </r>
  <r>
    <x v="23"/>
    <x v="22"/>
    <n v="2150"/>
    <x v="19"/>
    <x v="1"/>
    <x v="11"/>
    <x v="23"/>
    <x v="1"/>
    <x v="0"/>
  </r>
  <r>
    <x v="24"/>
    <x v="23"/>
    <n v="4500"/>
    <x v="20"/>
    <x v="3"/>
    <x v="12"/>
    <x v="24"/>
    <x v="1"/>
    <x v="1"/>
  </r>
  <r>
    <x v="25"/>
    <x v="24"/>
    <n v="647"/>
    <x v="18"/>
    <x v="15"/>
    <x v="2"/>
    <x v="25"/>
    <x v="0"/>
    <x v="0"/>
  </r>
  <r>
    <x v="26"/>
    <x v="25"/>
    <n v="3520"/>
    <x v="21"/>
    <x v="7"/>
    <x v="6"/>
    <x v="26"/>
    <x v="1"/>
    <x v="2"/>
  </r>
  <r>
    <x v="27"/>
    <x v="26"/>
    <n v="1990"/>
    <x v="22"/>
    <x v="13"/>
    <x v="6"/>
    <x v="26"/>
    <x v="1"/>
    <x v="0"/>
  </r>
  <r>
    <x v="28"/>
    <x v="27"/>
    <n v="2499"/>
    <x v="23"/>
    <x v="16"/>
    <x v="1"/>
    <x v="27"/>
    <x v="1"/>
    <x v="0"/>
  </r>
  <r>
    <x v="29"/>
    <x v="28"/>
    <n v="4080"/>
    <x v="14"/>
    <x v="14"/>
    <x v="10"/>
    <x v="28"/>
    <x v="2"/>
    <x v="1"/>
  </r>
  <r>
    <x v="30"/>
    <x v="29"/>
    <n v="382"/>
    <x v="24"/>
    <x v="10"/>
    <x v="12"/>
    <x v="29"/>
    <x v="1"/>
    <x v="1"/>
  </r>
  <r>
    <x v="31"/>
    <x v="30"/>
    <n v="1490"/>
    <x v="10"/>
    <x v="7"/>
    <x v="3"/>
    <x v="11"/>
    <x v="0"/>
    <x v="0"/>
  </r>
  <r>
    <x v="32"/>
    <x v="31"/>
    <n v="3490"/>
    <x v="25"/>
    <x v="10"/>
    <x v="12"/>
    <x v="30"/>
    <x v="1"/>
    <x v="1"/>
  </r>
  <r>
    <x v="33"/>
    <x v="32"/>
    <n v="2650"/>
    <x v="26"/>
    <x v="16"/>
    <x v="3"/>
    <x v="31"/>
    <x v="0"/>
    <x v="0"/>
  </r>
  <r>
    <x v="34"/>
    <x v="33"/>
    <n v="2699"/>
    <x v="26"/>
    <x v="17"/>
    <x v="0"/>
    <x v="32"/>
    <x v="0"/>
    <x v="0"/>
  </r>
  <r>
    <x v="35"/>
    <x v="34"/>
    <n v="2690"/>
    <x v="27"/>
    <x v="18"/>
    <x v="8"/>
    <x v="33"/>
    <x v="0"/>
    <x v="0"/>
  </r>
  <r>
    <x v="36"/>
    <x v="35"/>
    <n v="360"/>
    <x v="17"/>
    <x v="0"/>
    <x v="8"/>
    <x v="34"/>
    <x v="0"/>
    <x v="1"/>
  </r>
  <r>
    <x v="37"/>
    <x v="36"/>
    <n v="656"/>
    <x v="28"/>
    <x v="19"/>
    <x v="12"/>
    <x v="35"/>
    <x v="1"/>
    <x v="1"/>
  </r>
  <r>
    <x v="38"/>
    <x v="37"/>
    <n v="2700"/>
    <x v="0"/>
    <x v="0"/>
    <x v="0"/>
    <x v="36"/>
    <x v="0"/>
    <x v="0"/>
  </r>
  <r>
    <x v="39"/>
    <x v="38"/>
    <n v="4471"/>
    <x v="0"/>
    <x v="14"/>
    <x v="10"/>
    <x v="37"/>
    <x v="2"/>
    <x v="0"/>
  </r>
  <r>
    <x v="40"/>
    <x v="39"/>
    <n v="931"/>
    <x v="15"/>
    <x v="14"/>
    <x v="10"/>
    <x v="38"/>
    <x v="2"/>
    <x v="1"/>
  </r>
  <r>
    <x v="41"/>
    <x v="40"/>
    <n v="476"/>
    <x v="29"/>
    <x v="14"/>
    <x v="10"/>
    <x v="39"/>
    <x v="2"/>
    <x v="1"/>
  </r>
  <r>
    <x v="42"/>
    <x v="41"/>
    <n v="1060"/>
    <x v="11"/>
    <x v="14"/>
    <x v="10"/>
    <x v="40"/>
    <x v="2"/>
    <x v="1"/>
  </r>
  <r>
    <x v="43"/>
    <x v="42"/>
    <n v="2169"/>
    <x v="30"/>
    <x v="14"/>
    <x v="10"/>
    <x v="41"/>
    <x v="2"/>
    <x v="2"/>
  </r>
  <r>
    <x v="44"/>
    <x v="43"/>
    <n v="2000"/>
    <x v="29"/>
    <x v="14"/>
    <x v="10"/>
    <x v="42"/>
    <x v="2"/>
    <x v="1"/>
  </r>
  <r>
    <x v="45"/>
    <x v="44"/>
    <n v="1785"/>
    <x v="12"/>
    <x v="14"/>
    <x v="10"/>
    <x v="43"/>
    <x v="2"/>
    <x v="0"/>
  </r>
  <r>
    <x v="46"/>
    <x v="45"/>
    <n v="1316"/>
    <x v="15"/>
    <x v="14"/>
    <x v="10"/>
    <x v="44"/>
    <x v="2"/>
    <x v="1"/>
  </r>
  <r>
    <x v="47"/>
    <x v="46"/>
    <n v="1950"/>
    <x v="0"/>
    <x v="14"/>
    <x v="10"/>
    <x v="45"/>
    <x v="2"/>
    <x v="0"/>
  </r>
  <r>
    <x v="48"/>
    <x v="47"/>
    <n v="504"/>
    <x v="31"/>
    <x v="14"/>
    <x v="10"/>
    <x v="46"/>
    <x v="2"/>
    <x v="1"/>
  </r>
  <r>
    <x v="49"/>
    <x v="48"/>
    <n v="600"/>
    <x v="29"/>
    <x v="14"/>
    <x v="10"/>
    <x v="47"/>
    <x v="2"/>
    <x v="1"/>
  </r>
  <r>
    <x v="50"/>
    <x v="49"/>
    <n v="1699"/>
    <x v="30"/>
    <x v="14"/>
    <x v="10"/>
    <x v="48"/>
    <x v="2"/>
    <x v="2"/>
  </r>
  <r>
    <x v="51"/>
    <x v="48"/>
    <n v="384"/>
    <x v="32"/>
    <x v="14"/>
    <x v="10"/>
    <x v="49"/>
    <x v="2"/>
    <x v="0"/>
  </r>
  <r>
    <x v="52"/>
    <x v="50"/>
    <n v="1499"/>
    <x v="33"/>
    <x v="14"/>
    <x v="10"/>
    <x v="50"/>
    <x v="2"/>
    <x v="2"/>
  </r>
  <r>
    <x v="53"/>
    <x v="10"/>
    <n v="1343"/>
    <x v="28"/>
    <x v="14"/>
    <x v="10"/>
    <x v="51"/>
    <x v="2"/>
    <x v="1"/>
  </r>
  <r>
    <x v="54"/>
    <x v="51"/>
    <n v="900"/>
    <x v="8"/>
    <x v="14"/>
    <x v="10"/>
    <x v="52"/>
    <x v="2"/>
    <x v="1"/>
  </r>
  <r>
    <x v="55"/>
    <x v="52"/>
    <n v="1343"/>
    <x v="25"/>
    <x v="14"/>
    <x v="10"/>
    <x v="53"/>
    <x v="2"/>
    <x v="1"/>
  </r>
  <r>
    <x v="56"/>
    <x v="10"/>
    <n v="1567"/>
    <x v="15"/>
    <x v="14"/>
    <x v="10"/>
    <x v="54"/>
    <x v="2"/>
    <x v="1"/>
  </r>
  <r>
    <x v="57"/>
    <x v="53"/>
    <n v="3810"/>
    <x v="26"/>
    <x v="14"/>
    <x v="10"/>
    <x v="55"/>
    <x v="2"/>
    <x v="0"/>
  </r>
  <r>
    <x v="54"/>
    <x v="54"/>
    <n v="896"/>
    <x v="7"/>
    <x v="14"/>
    <x v="10"/>
    <x v="56"/>
    <x v="2"/>
    <x v="1"/>
  </r>
  <r>
    <x v="58"/>
    <x v="55"/>
    <n v="2500"/>
    <x v="34"/>
    <x v="9"/>
    <x v="13"/>
    <x v="57"/>
    <x v="2"/>
    <x v="2"/>
  </r>
  <r>
    <x v="59"/>
    <x v="56"/>
    <n v="986"/>
    <x v="20"/>
    <x v="20"/>
    <x v="14"/>
    <x v="58"/>
    <x v="1"/>
    <x v="1"/>
  </r>
  <r>
    <x v="60"/>
    <x v="57"/>
    <n v="4700"/>
    <x v="7"/>
    <x v="13"/>
    <x v="15"/>
    <x v="59"/>
    <x v="2"/>
    <x v="1"/>
  </r>
  <r>
    <x v="61"/>
    <x v="58"/>
    <n v="873"/>
    <x v="15"/>
    <x v="21"/>
    <x v="16"/>
    <x v="60"/>
    <x v="2"/>
    <x v="1"/>
  </r>
  <r>
    <x v="62"/>
    <x v="59"/>
    <n v="680"/>
    <x v="24"/>
    <x v="5"/>
    <x v="17"/>
    <x v="61"/>
    <x v="2"/>
    <x v="1"/>
  </r>
  <r>
    <x v="63"/>
    <x v="60"/>
    <n v="1555"/>
    <x v="32"/>
    <x v="22"/>
    <x v="18"/>
    <x v="62"/>
    <x v="2"/>
    <x v="0"/>
  </r>
  <r>
    <x v="64"/>
    <x v="11"/>
    <n v="1814"/>
    <x v="8"/>
    <x v="9"/>
    <x v="19"/>
    <x v="63"/>
    <x v="2"/>
    <x v="1"/>
  </r>
  <r>
    <x v="65"/>
    <x v="61"/>
    <n v="2000"/>
    <x v="29"/>
    <x v="3"/>
    <x v="20"/>
    <x v="64"/>
    <x v="2"/>
    <x v="1"/>
  </r>
  <r>
    <x v="66"/>
    <x v="62"/>
    <n v="6143"/>
    <x v="35"/>
    <x v="4"/>
    <x v="14"/>
    <x v="65"/>
    <x v="1"/>
    <x v="0"/>
  </r>
  <r>
    <x v="67"/>
    <x v="63"/>
    <n v="700"/>
    <x v="8"/>
    <x v="23"/>
    <x v="21"/>
    <x v="66"/>
    <x v="2"/>
    <x v="1"/>
  </r>
  <r>
    <x v="68"/>
    <x v="64"/>
    <n v="3240"/>
    <x v="36"/>
    <x v="4"/>
    <x v="14"/>
    <x v="67"/>
    <x v="1"/>
    <x v="0"/>
  </r>
  <r>
    <x v="69"/>
    <x v="65"/>
    <n v="602"/>
    <x v="37"/>
    <x v="9"/>
    <x v="20"/>
    <x v="68"/>
    <x v="2"/>
    <x v="1"/>
  </r>
  <r>
    <x v="70"/>
    <x v="66"/>
    <n v="899"/>
    <x v="37"/>
    <x v="4"/>
    <x v="14"/>
    <x v="69"/>
    <x v="1"/>
    <x v="1"/>
  </r>
  <r>
    <x v="71"/>
    <x v="67"/>
    <n v="1814"/>
    <x v="1"/>
    <x v="9"/>
    <x v="19"/>
    <x v="70"/>
    <x v="2"/>
    <x v="1"/>
  </r>
  <r>
    <x v="72"/>
    <x v="68"/>
    <n v="2988"/>
    <x v="1"/>
    <x v="3"/>
    <x v="15"/>
    <x v="71"/>
    <x v="2"/>
    <x v="1"/>
  </r>
  <r>
    <x v="73"/>
    <x v="69"/>
    <n v="1485"/>
    <x v="1"/>
    <x v="14"/>
    <x v="10"/>
    <x v="72"/>
    <x v="2"/>
    <x v="1"/>
  </r>
  <r>
    <x v="74"/>
    <x v="70"/>
    <n v="1200"/>
    <x v="37"/>
    <x v="14"/>
    <x v="10"/>
    <x v="11"/>
    <x v="2"/>
    <x v="1"/>
  </r>
  <r>
    <x v="75"/>
    <x v="71"/>
    <n v="1799"/>
    <x v="38"/>
    <x v="14"/>
    <x v="10"/>
    <x v="73"/>
    <x v="2"/>
    <x v="2"/>
  </r>
  <r>
    <x v="76"/>
    <x v="72"/>
    <n v="450"/>
    <x v="15"/>
    <x v="14"/>
    <x v="10"/>
    <x v="74"/>
    <x v="2"/>
    <x v="1"/>
  </r>
  <r>
    <x v="77"/>
    <x v="73"/>
    <n v="2199"/>
    <x v="14"/>
    <x v="18"/>
    <x v="14"/>
    <x v="75"/>
    <x v="1"/>
    <x v="1"/>
  </r>
  <r>
    <x v="78"/>
    <x v="74"/>
    <n v="1920"/>
    <x v="15"/>
    <x v="18"/>
    <x v="8"/>
    <x v="76"/>
    <x v="0"/>
    <x v="1"/>
  </r>
  <r>
    <x v="79"/>
    <x v="75"/>
    <n v="2290"/>
    <x v="39"/>
    <x v="14"/>
    <x v="10"/>
    <x v="77"/>
    <x v="2"/>
    <x v="0"/>
  </r>
  <r>
    <x v="80"/>
    <x v="76"/>
    <n v="1699"/>
    <x v="30"/>
    <x v="14"/>
    <x v="10"/>
    <x v="78"/>
    <x v="2"/>
    <x v="2"/>
  </r>
  <r>
    <x v="81"/>
    <x v="77"/>
    <n v="647"/>
    <x v="15"/>
    <x v="18"/>
    <x v="5"/>
    <x v="79"/>
    <x v="1"/>
    <x v="1"/>
  </r>
  <r>
    <x v="48"/>
    <x v="78"/>
    <n v="345"/>
    <x v="15"/>
    <x v="14"/>
    <x v="10"/>
    <x v="80"/>
    <x v="2"/>
    <x v="1"/>
  </r>
  <r>
    <x v="82"/>
    <x v="79"/>
    <n v="1699"/>
    <x v="40"/>
    <x v="14"/>
    <x v="10"/>
    <x v="81"/>
    <x v="2"/>
    <x v="2"/>
  </r>
  <r>
    <x v="83"/>
    <x v="80"/>
    <n v="537"/>
    <x v="15"/>
    <x v="14"/>
    <x v="10"/>
    <x v="82"/>
    <x v="2"/>
    <x v="1"/>
  </r>
  <r>
    <x v="84"/>
    <x v="10"/>
    <n v="900"/>
    <x v="41"/>
    <x v="14"/>
    <x v="10"/>
    <x v="83"/>
    <x v="2"/>
    <x v="2"/>
  </r>
  <r>
    <x v="56"/>
    <x v="81"/>
    <n v="1288"/>
    <x v="15"/>
    <x v="14"/>
    <x v="10"/>
    <x v="84"/>
    <x v="2"/>
    <x v="1"/>
  </r>
  <r>
    <x v="85"/>
    <x v="82"/>
    <n v="1699"/>
    <x v="40"/>
    <x v="14"/>
    <x v="10"/>
    <x v="85"/>
    <x v="2"/>
    <x v="2"/>
  </r>
  <r>
    <x v="86"/>
    <x v="83"/>
    <n v="1100"/>
    <x v="37"/>
    <x v="14"/>
    <x v="10"/>
    <x v="22"/>
    <x v="2"/>
    <x v="1"/>
  </r>
  <r>
    <x v="87"/>
    <x v="84"/>
    <n v="1700"/>
    <x v="29"/>
    <x v="14"/>
    <x v="10"/>
    <x v="86"/>
    <x v="2"/>
    <x v="1"/>
  </r>
  <r>
    <x v="88"/>
    <x v="85"/>
    <n v="2500"/>
    <x v="25"/>
    <x v="14"/>
    <x v="10"/>
    <x v="87"/>
    <x v="2"/>
    <x v="1"/>
  </r>
  <r>
    <x v="89"/>
    <x v="86"/>
    <n v="200"/>
    <x v="25"/>
    <x v="14"/>
    <x v="10"/>
    <x v="88"/>
    <x v="2"/>
    <x v="1"/>
  </r>
  <r>
    <x v="90"/>
    <x v="87"/>
    <n v="1699"/>
    <x v="1"/>
    <x v="14"/>
    <x v="10"/>
    <x v="89"/>
    <x v="2"/>
    <x v="1"/>
  </r>
  <r>
    <x v="91"/>
    <x v="46"/>
    <n v="2400"/>
    <x v="29"/>
    <x v="14"/>
    <x v="10"/>
    <x v="87"/>
    <x v="2"/>
    <x v="1"/>
  </r>
  <r>
    <x v="92"/>
    <x v="88"/>
    <n v="1660"/>
    <x v="42"/>
    <x v="14"/>
    <x v="10"/>
    <x v="90"/>
    <x v="2"/>
    <x v="2"/>
  </r>
  <r>
    <x v="93"/>
    <x v="89"/>
    <n v="1499"/>
    <x v="30"/>
    <x v="14"/>
    <x v="10"/>
    <x v="41"/>
    <x v="2"/>
    <x v="2"/>
  </r>
  <r>
    <x v="94"/>
    <x v="90"/>
    <n v="486"/>
    <x v="15"/>
    <x v="14"/>
    <x v="10"/>
    <x v="39"/>
    <x v="2"/>
    <x v="1"/>
  </r>
  <r>
    <x v="95"/>
    <x v="91"/>
    <n v="3699"/>
    <x v="38"/>
    <x v="14"/>
    <x v="10"/>
    <x v="91"/>
    <x v="2"/>
    <x v="2"/>
  </r>
  <r>
    <x v="96"/>
    <x v="92"/>
    <n v="1029"/>
    <x v="15"/>
    <x v="14"/>
    <x v="10"/>
    <x v="92"/>
    <x v="2"/>
    <x v="1"/>
  </r>
  <r>
    <x v="97"/>
    <x v="93"/>
    <n v="1874"/>
    <x v="11"/>
    <x v="14"/>
    <x v="10"/>
    <x v="93"/>
    <x v="2"/>
    <x v="1"/>
  </r>
  <r>
    <x v="98"/>
    <x v="94"/>
    <n v="4588"/>
    <x v="43"/>
    <x v="18"/>
    <x v="8"/>
    <x v="94"/>
    <x v="0"/>
    <x v="0"/>
  </r>
  <r>
    <x v="99"/>
    <x v="95"/>
    <n v="2420"/>
    <x v="28"/>
    <x v="14"/>
    <x v="10"/>
    <x v="64"/>
    <x v="2"/>
    <x v="1"/>
  </r>
  <r>
    <x v="100"/>
    <x v="96"/>
    <n v="1899"/>
    <x v="44"/>
    <x v="14"/>
    <x v="10"/>
    <x v="95"/>
    <x v="2"/>
    <x v="2"/>
  </r>
  <r>
    <x v="101"/>
    <x v="97"/>
    <n v="260"/>
    <x v="6"/>
    <x v="14"/>
    <x v="10"/>
    <x v="96"/>
    <x v="2"/>
    <x v="0"/>
  </r>
  <r>
    <x v="102"/>
    <x v="98"/>
    <n v="1737"/>
    <x v="10"/>
    <x v="14"/>
    <x v="10"/>
    <x v="97"/>
    <x v="2"/>
    <x v="0"/>
  </r>
  <r>
    <x v="103"/>
    <x v="44"/>
    <n v="1810"/>
    <x v="10"/>
    <x v="14"/>
    <x v="10"/>
    <x v="98"/>
    <x v="2"/>
    <x v="0"/>
  </r>
  <r>
    <x v="104"/>
    <x v="99"/>
    <n v="1699"/>
    <x v="30"/>
    <x v="14"/>
    <x v="10"/>
    <x v="99"/>
    <x v="2"/>
    <x v="2"/>
  </r>
  <r>
    <x v="105"/>
    <x v="100"/>
    <n v="1799"/>
    <x v="30"/>
    <x v="14"/>
    <x v="10"/>
    <x v="100"/>
    <x v="2"/>
    <x v="2"/>
  </r>
  <r>
    <x v="106"/>
    <x v="47"/>
    <n v="553"/>
    <x v="45"/>
    <x v="14"/>
    <x v="10"/>
    <x v="101"/>
    <x v="2"/>
    <x v="1"/>
  </r>
  <r>
    <x v="107"/>
    <x v="101"/>
    <n v="900"/>
    <x v="29"/>
    <x v="18"/>
    <x v="22"/>
    <x v="40"/>
    <x v="2"/>
    <x v="1"/>
  </r>
  <r>
    <x v="108"/>
    <x v="102"/>
    <n v="320"/>
    <x v="1"/>
    <x v="14"/>
    <x v="10"/>
    <x v="102"/>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415EBA-D62D-4344-A9CB-A74DB2B6478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6" firstHeaderRow="1" firstDataRow="1" firstDataCol="1"/>
  <pivotFields count="9">
    <pivotField showAll="0"/>
    <pivotField showAll="0"/>
    <pivotField showAll="0"/>
    <pivotField numFmtId="9" showAll="0">
      <items count="10">
        <item x="0"/>
        <item x="1"/>
        <item x="2"/>
        <item x="3"/>
        <item x="4"/>
        <item x="5"/>
        <item x="6"/>
        <item x="7"/>
        <item x="8"/>
        <item t="default"/>
      </items>
    </pivotField>
    <pivotField showAll="0"/>
    <pivotField showAll="0">
      <items count="8">
        <item x="0"/>
        <item x="1"/>
        <item x="2"/>
        <item x="3"/>
        <item x="4"/>
        <item x="5"/>
        <item x="6"/>
        <item t="default"/>
      </items>
    </pivotField>
    <pivotField showAll="0" avgSubtotal="1">
      <items count="104">
        <item x="95"/>
        <item x="100"/>
        <item x="78"/>
        <item x="41"/>
        <item x="48"/>
        <item x="50"/>
        <item x="99"/>
        <item x="20"/>
        <item x="96"/>
        <item x="73"/>
        <item x="49"/>
        <item x="88"/>
        <item x="83"/>
        <item x="90"/>
        <item x="102"/>
        <item x="91"/>
        <item x="16"/>
        <item x="80"/>
        <item x="34"/>
        <item x="29"/>
        <item x="10"/>
        <item x="74"/>
        <item x="25"/>
        <item x="85"/>
        <item x="81"/>
        <item x="39"/>
        <item x="68"/>
        <item x="82"/>
        <item x="35"/>
        <item x="5"/>
        <item x="47"/>
        <item x="46"/>
        <item x="79"/>
        <item x="66"/>
        <item x="57"/>
        <item x="62"/>
        <item x="15"/>
        <item x="101"/>
        <item x="61"/>
        <item x="13"/>
        <item x="69"/>
        <item x="52"/>
        <item x="60"/>
        <item x="40"/>
        <item x="38"/>
        <item x="22"/>
        <item x="1"/>
        <item x="12"/>
        <item x="56"/>
        <item x="23"/>
        <item x="92"/>
        <item x="11"/>
        <item x="58"/>
        <item x="51"/>
        <item x="0"/>
        <item x="97"/>
        <item x="7"/>
        <item x="43"/>
        <item x="4"/>
        <item x="98"/>
        <item x="84"/>
        <item x="26"/>
        <item x="53"/>
        <item x="44"/>
        <item x="72"/>
        <item x="18"/>
        <item x="31"/>
        <item x="6"/>
        <item x="32"/>
        <item x="2"/>
        <item x="27"/>
        <item x="45"/>
        <item x="54"/>
        <item x="93"/>
        <item x="89"/>
        <item x="14"/>
        <item x="63"/>
        <item x="77"/>
        <item x="70"/>
        <item x="86"/>
        <item x="36"/>
        <item x="3"/>
        <item x="67"/>
        <item x="76"/>
        <item x="94"/>
        <item x="19"/>
        <item x="64"/>
        <item x="42"/>
        <item x="75"/>
        <item x="55"/>
        <item x="33"/>
        <item x="87"/>
        <item x="9"/>
        <item x="21"/>
        <item x="71"/>
        <item x="8"/>
        <item x="30"/>
        <item x="37"/>
        <item x="28"/>
        <item x="17"/>
        <item x="65"/>
        <item x="24"/>
        <item x="59"/>
        <item t="avg"/>
      </items>
    </pivotField>
    <pivotField axis="axisRow" showAll="0">
      <items count="4">
        <item x="1"/>
        <item x="0"/>
        <item x="2"/>
        <item t="default"/>
      </items>
    </pivotField>
    <pivotField axis="axisRow" showAll="0">
      <items count="4">
        <item x="1"/>
        <item x="2"/>
        <item x="0"/>
        <item t="default"/>
      </items>
    </pivotField>
  </pivotFields>
  <rowFields count="2">
    <field x="8"/>
    <field x="7"/>
  </rowFields>
  <rowItems count="13">
    <i>
      <x/>
    </i>
    <i r="1">
      <x/>
    </i>
    <i r="1">
      <x v="1"/>
    </i>
    <i r="1">
      <x v="2"/>
    </i>
    <i>
      <x v="1"/>
    </i>
    <i r="1">
      <x/>
    </i>
    <i r="1">
      <x v="1"/>
    </i>
    <i r="1">
      <x v="2"/>
    </i>
    <i>
      <x v="2"/>
    </i>
    <i r="1">
      <x/>
    </i>
    <i r="1">
      <x v="1"/>
    </i>
    <i r="1">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B51141-6246-4422-B5D9-C4576ACB04D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9">
    <pivotField showAll="0"/>
    <pivotField dataField="1" showAll="0">
      <items count="104">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pivotField>
    <pivotField dataField="1" showAll="0"/>
    <pivotField dataField="1" numFmtId="9" showAll="0">
      <items count="10">
        <item x="0"/>
        <item x="1"/>
        <item x="2"/>
        <item x="3"/>
        <item x="4"/>
        <item x="5"/>
        <item x="6"/>
        <item x="7"/>
        <item x="8"/>
        <item t="default"/>
      </items>
    </pivotField>
    <pivotField showAll="0"/>
    <pivotField dataField="1" showAll="0">
      <items count="8">
        <item x="0"/>
        <item x="1"/>
        <item x="2"/>
        <item x="3"/>
        <item x="4"/>
        <item x="5"/>
        <item x="6"/>
        <item t="default"/>
      </items>
    </pivotField>
    <pivotField showAll="0"/>
    <pivotField showAll="0"/>
    <pivotField showAll="0"/>
  </pivotFields>
  <rowItems count="1">
    <i/>
  </rowItems>
  <colFields count="1">
    <field x="-2"/>
  </colFields>
  <colItems count="4">
    <i>
      <x/>
    </i>
    <i i="1">
      <x v="1"/>
    </i>
    <i i="2">
      <x v="2"/>
    </i>
    <i i="3">
      <x v="3"/>
    </i>
  </colItems>
  <dataFields count="4">
    <dataField name="Average of Rating" fld="5" subtotal="average" baseField="0" baseItem="1"/>
    <dataField name="Average of Current price" fld="1" subtotal="average" baseField="0" baseItem="1"/>
    <dataField name="Average of Discount " fld="3" subtotal="average" baseField="0" baseItem="1" numFmtId="9"/>
    <dataField name="Average of Old price" fld="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A822A3-F927-4CC5-BEB8-134C313C91BA}"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3" firstHeaderRow="1" firstDataRow="1" firstDataCol="1"/>
  <pivotFields count="9">
    <pivotField axis="axisRow" showAll="0"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dataField="1" showAll="0"/>
    <pivotField showAll="0"/>
    <pivotField numFmtId="9" showAll="0">
      <items count="10">
        <item x="0"/>
        <item x="1"/>
        <item x="2"/>
        <item x="3"/>
        <item x="4"/>
        <item x="5"/>
        <item x="6"/>
        <item x="7"/>
        <item x="8"/>
        <item t="default"/>
      </items>
    </pivotField>
    <pivotField showAll="0"/>
    <pivotField showAll="0">
      <items count="8">
        <item x="0"/>
        <item x="1"/>
        <item x="2"/>
        <item x="3"/>
        <item x="4"/>
        <item x="5"/>
        <item x="6"/>
        <item t="default"/>
      </items>
    </pivotField>
    <pivotField showAll="0"/>
    <pivotField showAll="0"/>
    <pivotField showAll="0"/>
  </pivotFields>
  <rowFields count="1">
    <field x="0"/>
  </rowFields>
  <rowItems count="110">
    <i>
      <x v="16"/>
    </i>
    <i>
      <x v="65"/>
    </i>
    <i>
      <x v="78"/>
    </i>
    <i>
      <x v="75"/>
    </i>
    <i>
      <x v="11"/>
    </i>
    <i>
      <x v="93"/>
    </i>
    <i>
      <x v="6"/>
    </i>
    <i>
      <x v="71"/>
    </i>
    <i>
      <x v="8"/>
    </i>
    <i>
      <x v="66"/>
    </i>
    <i>
      <x v="82"/>
    </i>
    <i>
      <x v="91"/>
    </i>
    <i>
      <x v="25"/>
    </i>
    <i>
      <x v="97"/>
    </i>
    <i>
      <x v="30"/>
    </i>
    <i>
      <x v="67"/>
    </i>
    <i>
      <x v="68"/>
    </i>
    <i>
      <x v="27"/>
    </i>
    <i>
      <x v="28"/>
    </i>
    <i>
      <x v="12"/>
    </i>
    <i>
      <x v="24"/>
    </i>
    <i>
      <x v="72"/>
    </i>
    <i>
      <x/>
    </i>
    <i>
      <x v="100"/>
    </i>
    <i>
      <x v="26"/>
    </i>
    <i>
      <x v="90"/>
    </i>
    <i>
      <x v="54"/>
    </i>
    <i>
      <x v="80"/>
    </i>
    <i>
      <x v="10"/>
    </i>
    <i>
      <x v="88"/>
    </i>
    <i>
      <x v="98"/>
    </i>
    <i>
      <x v="61"/>
    </i>
    <i>
      <x v="57"/>
    </i>
    <i>
      <x v="7"/>
    </i>
    <i>
      <x v="107"/>
    </i>
    <i>
      <x v="58"/>
    </i>
    <i>
      <x v="103"/>
    </i>
    <i>
      <x v="105"/>
    </i>
    <i>
      <x v="85"/>
    </i>
    <i>
      <x v="92"/>
    </i>
    <i>
      <x v="29"/>
    </i>
    <i>
      <x v="83"/>
    </i>
    <i>
      <x v="37"/>
    </i>
    <i>
      <x v="3"/>
    </i>
    <i>
      <x v="94"/>
    </i>
    <i>
      <x v="70"/>
    </i>
    <i>
      <x v="101"/>
    </i>
    <i>
      <x v="14"/>
    </i>
    <i>
      <x v="13"/>
    </i>
    <i>
      <x v="33"/>
    </i>
    <i>
      <x v="49"/>
    </i>
    <i>
      <x v="76"/>
    </i>
    <i>
      <x v="74"/>
    </i>
    <i>
      <x v="36"/>
    </i>
    <i>
      <x v="17"/>
    </i>
    <i>
      <x v="50"/>
    </i>
    <i>
      <x v="18"/>
    </i>
    <i>
      <x v="41"/>
    </i>
    <i>
      <x v="1"/>
    </i>
    <i>
      <x v="56"/>
    </i>
    <i>
      <x v="4"/>
    </i>
    <i>
      <x v="44"/>
    </i>
    <i>
      <x v="35"/>
    </i>
    <i>
      <x v="2"/>
    </i>
    <i>
      <x v="32"/>
    </i>
    <i>
      <x v="73"/>
    </i>
    <i>
      <x v="102"/>
    </i>
    <i>
      <x v="55"/>
    </i>
    <i>
      <x v="62"/>
    </i>
    <i>
      <x v="39"/>
    </i>
    <i>
      <x v="86"/>
    </i>
    <i>
      <x v="15"/>
    </i>
    <i>
      <x v="51"/>
    </i>
    <i>
      <x v="19"/>
    </i>
    <i>
      <x v="47"/>
    </i>
    <i>
      <x v="81"/>
    </i>
    <i>
      <x v="43"/>
    </i>
    <i>
      <x v="22"/>
    </i>
    <i>
      <x v="77"/>
    </i>
    <i>
      <x v="42"/>
    </i>
    <i>
      <x v="108"/>
    </i>
    <i>
      <x v="69"/>
    </i>
    <i>
      <x v="99"/>
    </i>
    <i>
      <x v="23"/>
    </i>
    <i>
      <x v="84"/>
    </i>
    <i>
      <x v="104"/>
    </i>
    <i>
      <x v="5"/>
    </i>
    <i>
      <x v="59"/>
    </i>
    <i>
      <x v="95"/>
    </i>
    <i>
      <x v="38"/>
    </i>
    <i>
      <x v="106"/>
    </i>
    <i>
      <x v="40"/>
    </i>
    <i>
      <x v="63"/>
    </i>
    <i>
      <x v="64"/>
    </i>
    <i>
      <x v="46"/>
    </i>
    <i>
      <x v="89"/>
    </i>
    <i>
      <x v="48"/>
    </i>
    <i>
      <x v="21"/>
    </i>
    <i>
      <x v="79"/>
    </i>
    <i>
      <x v="34"/>
    </i>
    <i>
      <x v="31"/>
    </i>
    <i>
      <x v="53"/>
    </i>
    <i>
      <x v="9"/>
    </i>
    <i>
      <x v="87"/>
    </i>
    <i>
      <x v="60"/>
    </i>
    <i>
      <x v="52"/>
    </i>
    <i>
      <x v="45"/>
    </i>
    <i>
      <x v="96"/>
    </i>
    <i>
      <x v="20"/>
    </i>
    <i t="grand">
      <x/>
    </i>
  </rowItems>
  <colItems count="1">
    <i/>
  </colItems>
  <dataFields count="1">
    <dataField name="Max of New current price" fld="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D45E3B-567C-43AA-A09D-3E61672667CB}"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9">
    <pivotField showAll="0"/>
    <pivotField showAll="0"/>
    <pivotField showAll="0"/>
    <pivotField dataField="1" numFmtId="9" showAll="0">
      <items count="10">
        <item x="0"/>
        <item x="1"/>
        <item x="2"/>
        <item x="3"/>
        <item x="4"/>
        <item x="5"/>
        <item x="6"/>
        <item x="7"/>
        <item x="8"/>
        <item t="default"/>
      </items>
    </pivotField>
    <pivotField showAll="0"/>
    <pivotField dataField="1" showAll="0">
      <items count="8">
        <item x="0"/>
        <item x="1"/>
        <item x="2"/>
        <item x="3"/>
        <item x="4"/>
        <item x="5"/>
        <item x="6"/>
        <item t="default"/>
      </items>
    </pivotField>
    <pivotField showAll="0"/>
    <pivotField showAll="0"/>
    <pivotField axis="axisRow" showAll="0">
      <items count="4">
        <item x="1"/>
        <item x="2"/>
        <item x="0"/>
        <item t="default"/>
      </items>
    </pivotField>
  </pivotFields>
  <rowFields count="1">
    <field x="8"/>
  </rowFields>
  <rowItems count="4">
    <i>
      <x/>
    </i>
    <i>
      <x v="1"/>
    </i>
    <i>
      <x v="2"/>
    </i>
    <i t="grand">
      <x/>
    </i>
  </rowItems>
  <colFields count="1">
    <field x="-2"/>
  </colFields>
  <colItems count="2">
    <i>
      <x/>
    </i>
    <i i="1">
      <x v="1"/>
    </i>
  </colItems>
  <dataFields count="2">
    <dataField name="Average of Rating" fld="5" subtotal="average" baseField="8" baseItem="0"/>
    <dataField name="Average of Discount " fld="3" subtotal="average" baseField="8"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2C6EA9-18D6-4915-8E11-B155A779D234}"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9">
    <pivotField dataField="1" showAll="0"/>
    <pivotField showAll="0"/>
    <pivotField showAll="0"/>
    <pivotField numFmtId="9" showAll="0">
      <items count="10">
        <item x="0"/>
        <item x="1"/>
        <item x="2"/>
        <item x="3"/>
        <item x="4"/>
        <item x="5"/>
        <item x="6"/>
        <item x="7"/>
        <item x="8"/>
        <item t="default"/>
      </items>
    </pivotField>
    <pivotField showAll="0"/>
    <pivotField showAll="0">
      <items count="8">
        <item x="0"/>
        <item x="1"/>
        <item x="2"/>
        <item x="3"/>
        <item x="4"/>
        <item x="5"/>
        <item x="6"/>
        <item t="default"/>
      </items>
    </pivotField>
    <pivotField showAll="0"/>
    <pivotField axis="axisRow" showAll="0">
      <items count="4">
        <item x="1"/>
        <item x="0"/>
        <item x="2"/>
        <item t="default"/>
      </items>
    </pivotField>
    <pivotField showAll="0"/>
  </pivotFields>
  <rowFields count="1">
    <field x="7"/>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C05293-DFF6-407F-B2FC-31A6D85B1EFE}"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9">
    <pivotField showAll="0"/>
    <pivotField showAll="0"/>
    <pivotField showAll="0"/>
    <pivotField axis="axisRow" numFmtId="9" showAll="0">
      <items count="10">
        <item x="0"/>
        <item x="1"/>
        <item x="2"/>
        <item x="3"/>
        <item x="4"/>
        <item x="5"/>
        <item x="6"/>
        <item x="7"/>
        <item x="8"/>
        <item t="default"/>
      </items>
    </pivotField>
    <pivotField dataField="1" showAll="0"/>
    <pivotField showAll="0">
      <items count="8">
        <item x="0"/>
        <item x="1"/>
        <item x="2"/>
        <item x="3"/>
        <item x="4"/>
        <item x="5"/>
        <item x="6"/>
        <item t="default"/>
      </items>
    </pivotField>
    <pivotField showAll="0"/>
    <pivotField showAll="0"/>
    <pivotField showAll="0"/>
  </pivotFields>
  <rowFields count="1">
    <field x="3"/>
  </rowFields>
  <rowItems count="8">
    <i>
      <x v="1"/>
    </i>
    <i>
      <x v="2"/>
    </i>
    <i>
      <x v="3"/>
    </i>
    <i>
      <x v="4"/>
    </i>
    <i>
      <x v="5"/>
    </i>
    <i>
      <x v="6"/>
    </i>
    <i>
      <x v="7"/>
    </i>
    <i t="grand">
      <x/>
    </i>
  </rowItems>
  <colItems count="1">
    <i/>
  </colItems>
  <dataFields count="1">
    <dataField name="Sum of Review"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B66CE4-5431-40F1-B953-CDE65DB1B432}"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atings">
  <location ref="A3:B8" firstHeaderRow="1" firstDataRow="1" firstDataCol="1"/>
  <pivotFields count="9">
    <pivotField showAll="0"/>
    <pivotField showAll="0"/>
    <pivotField showAll="0"/>
    <pivotField numFmtId="9" showAll="0">
      <items count="10">
        <item x="0"/>
        <item x="1"/>
        <item x="2"/>
        <item x="3"/>
        <item x="4"/>
        <item x="5"/>
        <item x="6"/>
        <item x="7"/>
        <item x="8"/>
        <item t="default"/>
      </items>
    </pivotField>
    <pivotField dataField="1" showAll="0"/>
    <pivotField axis="axisRow" showAll="0">
      <items count="8">
        <item x="0"/>
        <item x="1"/>
        <item x="2"/>
        <item x="3"/>
        <item x="4"/>
        <item x="5"/>
        <item x="6"/>
        <item t="default"/>
      </items>
    </pivotField>
    <pivotField showAll="0"/>
    <pivotField showAll="0"/>
    <pivotField showAll="0"/>
  </pivotFields>
  <rowFields count="1">
    <field x="5"/>
  </rowFields>
  <rowItems count="5">
    <i>
      <x v="1"/>
    </i>
    <i>
      <x v="3"/>
    </i>
    <i>
      <x v="4"/>
    </i>
    <i>
      <x v="5"/>
    </i>
    <i t="grand">
      <x/>
    </i>
  </rowItems>
  <colItems count="1">
    <i/>
  </colItems>
  <dataFields count="1">
    <dataField name="Sum of Review"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1B70D6-5BC0-4B1A-8D7E-6E1109D87EAA}"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9">
    <pivotField dataField="1" showAll="0"/>
    <pivotField showAll="0"/>
    <pivotField showAll="0"/>
    <pivotField dataField="1" numFmtId="9" showAll="0"/>
    <pivotField dataField="1" showAll="0"/>
    <pivotField dataField="1" showAll="0"/>
    <pivotField showAll="0"/>
    <pivotField showAll="0"/>
    <pivotField showAll="0"/>
  </pivotFields>
  <rowItems count="1">
    <i/>
  </rowItems>
  <colFields count="1">
    <field x="-2"/>
  </colFields>
  <colItems count="4">
    <i>
      <x/>
    </i>
    <i i="1">
      <x v="1"/>
    </i>
    <i i="2">
      <x v="2"/>
    </i>
    <i i="3">
      <x v="3"/>
    </i>
  </colItems>
  <dataFields count="4">
    <dataField name="Total Reviews" fld="4" baseField="0" baseItem="1"/>
    <dataField name="Avg Rating" fld="5" subtotal="average" baseField="0" baseItem="1" numFmtId="164"/>
    <dataField name="Total Products" fld="0" subtotal="count" baseField="0" baseItem="1"/>
    <dataField name="Avg Discount " fld="3" subtotal="average" baseField="0" baseItem="1" numFmtId="9"/>
  </dataFields>
  <formats count="1">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80BCF2-D42F-4503-A668-2EC7C5C5A80A}"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showAll="0"/>
    <pivotField dataField="1" showAll="0">
      <items count="8">
        <item x="0"/>
        <item x="1"/>
        <item x="2"/>
        <item x="3"/>
        <item x="4"/>
        <item x="5"/>
        <item x="6"/>
        <item t="default"/>
      </items>
    </pivotField>
    <pivotField showAll="0"/>
    <pivotField showAll="0"/>
    <pivotField showAll="0"/>
  </pivotFields>
  <rowFields count="1">
    <field x="0"/>
  </rowFields>
  <rowItems count="11">
    <i>
      <x v="52"/>
    </i>
    <i>
      <x v="68"/>
    </i>
    <i>
      <x v="65"/>
    </i>
    <i>
      <x v="40"/>
    </i>
    <i>
      <x v="87"/>
    </i>
    <i>
      <x v="44"/>
    </i>
    <i>
      <x v="57"/>
    </i>
    <i>
      <x v="70"/>
    </i>
    <i>
      <x v="90"/>
    </i>
    <i>
      <x v="22"/>
    </i>
    <i t="grand">
      <x/>
    </i>
  </rowItems>
  <colItems count="1">
    <i/>
  </colItems>
  <dataFields count="1">
    <dataField name="Average of Rating" fld="5" subtotal="average"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2B4666-4237-47FE-89D2-5B5A82744073}"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dataField="1" showAll="0">
      <items count="25">
        <item x="14"/>
        <item x="18"/>
        <item x="0"/>
        <item x="11"/>
        <item x="4"/>
        <item x="9"/>
        <item x="3"/>
        <item x="10"/>
        <item x="20"/>
        <item x="7"/>
        <item x="13"/>
        <item x="1"/>
        <item x="5"/>
        <item x="22"/>
        <item x="23"/>
        <item x="16"/>
        <item x="2"/>
        <item x="17"/>
        <item x="19"/>
        <item x="8"/>
        <item x="12"/>
        <item x="15"/>
        <item x="6"/>
        <item x="21"/>
        <item t="default"/>
      </items>
    </pivotField>
    <pivotField showAll="0"/>
    <pivotField showAll="0"/>
    <pivotField showAll="0"/>
    <pivotField showAll="0"/>
  </pivotFields>
  <rowFields count="1">
    <field x="0"/>
  </rowFields>
  <rowItems count="11">
    <i>
      <x v="5"/>
    </i>
    <i>
      <x v="8"/>
    </i>
    <i>
      <x v="59"/>
    </i>
    <i>
      <x v="18"/>
    </i>
    <i>
      <x v="1"/>
    </i>
    <i>
      <x v="95"/>
    </i>
    <i>
      <x v="27"/>
    </i>
    <i>
      <x v="91"/>
    </i>
    <i>
      <x v="28"/>
    </i>
    <i>
      <x v="26"/>
    </i>
    <i t="grand">
      <x/>
    </i>
  </rowItems>
  <colItems count="1">
    <i/>
  </colItems>
  <dataFields count="1">
    <dataField name="Sum of Review"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76DCA5-01C6-4081-8AEF-65BB6A01D829}"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87"/>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92"/>
        <item x="107"/>
        <item x="85"/>
        <item x="69"/>
        <item x="3"/>
        <item x="70"/>
        <item t="default"/>
      </items>
    </pivotField>
    <pivotField showAll="0"/>
    <pivotField showAll="0"/>
    <pivotField dataField="1" numFmtId="9" showAll="0">
      <items count="10">
        <item x="0"/>
        <item x="1"/>
        <item x="2"/>
        <item x="3"/>
        <item x="4"/>
        <item x="5"/>
        <item x="6"/>
        <item x="7"/>
        <item x="8"/>
        <item t="default"/>
      </items>
    </pivotField>
    <pivotField showAll="0">
      <items count="25">
        <item x="14"/>
        <item x="18"/>
        <item x="0"/>
        <item x="11"/>
        <item x="4"/>
        <item x="9"/>
        <item x="3"/>
        <item x="10"/>
        <item x="20"/>
        <item x="7"/>
        <item x="13"/>
        <item x="1"/>
        <item x="5"/>
        <item x="22"/>
        <item x="23"/>
        <item x="16"/>
        <item x="2"/>
        <item x="17"/>
        <item x="19"/>
        <item x="8"/>
        <item x="12"/>
        <item x="15"/>
        <item x="6"/>
        <item x="21"/>
        <item t="default"/>
      </items>
    </pivotField>
    <pivotField showAll="0">
      <items count="8">
        <item x="0"/>
        <item x="1"/>
        <item x="2"/>
        <item x="3"/>
        <item x="4"/>
        <item x="5"/>
        <item x="6"/>
        <item t="default"/>
      </items>
    </pivotField>
    <pivotField showAll="0"/>
    <pivotField showAll="0"/>
    <pivotField showAll="0"/>
  </pivotFields>
  <rowFields count="1">
    <field x="0"/>
  </rowFields>
  <rowItems count="11">
    <i>
      <x v="20"/>
    </i>
    <i>
      <x v="31"/>
    </i>
    <i>
      <x v="32"/>
    </i>
    <i>
      <x v="53"/>
    </i>
    <i>
      <x v="54"/>
    </i>
    <i>
      <x v="61"/>
    </i>
    <i>
      <x v="65"/>
    </i>
    <i>
      <x v="68"/>
    </i>
    <i>
      <x v="71"/>
    </i>
    <i>
      <x v="85"/>
    </i>
    <i t="grand">
      <x/>
    </i>
  </rowItems>
  <colItems count="1">
    <i/>
  </colItems>
  <dataFields count="1">
    <dataField name="Average of Discount " fld="3" subtotal="average" baseField="0" baseItem="0" numFmtId="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B501A2-28A5-42FC-B3C2-B5E627C7DA3B}"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dataField="1" showAll="0"/>
    <pivotField showAll="0"/>
    <pivotField showAll="0"/>
    <pivotField numFmtId="9" showAll="0"/>
    <pivotField showAll="0"/>
    <pivotField showAll="0"/>
    <pivotField showAll="0"/>
    <pivotField axis="axisRow" showAll="0">
      <items count="4">
        <item x="1"/>
        <item x="0"/>
        <item x="2"/>
        <item t="default"/>
      </items>
    </pivotField>
    <pivotField showAll="0"/>
  </pivotFields>
  <rowFields count="1">
    <field x="7"/>
  </rowFields>
  <rowItems count="4">
    <i>
      <x/>
    </i>
    <i>
      <x v="1"/>
    </i>
    <i>
      <x v="2"/>
    </i>
    <i t="grand">
      <x/>
    </i>
  </rowItems>
  <colItems count="1">
    <i/>
  </colItems>
  <dataFields count="1">
    <dataField name="Count of Product"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D104C2-A31F-4E35-A9A7-E5CB0662EA23}"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dataField="1" showAll="0"/>
    <pivotField showAll="0"/>
    <pivotField showAll="0"/>
    <pivotField numFmtId="9" showAll="0"/>
    <pivotField showAll="0"/>
    <pivotField showAll="0"/>
    <pivotField showAll="0"/>
    <pivotField axis="axisRow" showAll="0">
      <items count="4">
        <item x="1"/>
        <item x="0"/>
        <item x="2"/>
        <item t="default"/>
      </items>
    </pivotField>
    <pivotField showAll="0"/>
  </pivotFields>
  <rowFields count="1">
    <field x="7"/>
  </rowFields>
  <rowItems count="4">
    <i>
      <x/>
    </i>
    <i>
      <x v="1"/>
    </i>
    <i>
      <x v="2"/>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86A830F-BB5B-4017-8833-72FD3B02D005}" sourceName="Product">
  <pivotTables>
    <pivotTable tabId="14" name="PivotTable20"/>
  </pivotTables>
  <data>
    <tabular pivotCacheId="101602585">
      <items count="109">
        <i x="38" s="1"/>
        <i x="11" s="1"/>
        <i x="0" s="1"/>
        <i x="27" s="1"/>
        <i x="31" s="1"/>
        <i x="61" s="1"/>
        <i x="57" s="1"/>
        <i x="9" s="1"/>
        <i x="6" s="1"/>
        <i x="101" s="1"/>
        <i x="80" s="1"/>
        <i x="5" s="1"/>
        <i x="100" s="1"/>
        <i x="91" s="1"/>
        <i x="47" s="1"/>
        <i x="73" s="1"/>
        <i x="66" s="1"/>
        <i x="65" s="1"/>
        <i x="19" s="1"/>
        <i x="74" s="1"/>
        <i x="20" s="1"/>
        <i x="94" s="1"/>
        <i x="12" s="1"/>
        <i x="40" s="1"/>
        <i x="21" s="1"/>
        <i x="58" s="1"/>
        <i x="28" s="1"/>
        <i x="34" s="1"/>
        <i x="33" s="1"/>
        <i x="79" s="1"/>
        <i x="60" s="1"/>
        <i x="106" s="1"/>
        <i x="90" s="1"/>
        <i x="45" s="1"/>
        <i x="76" s="1"/>
        <i x="71" s="1"/>
        <i x="97" s="1"/>
        <i x="99" s="1"/>
        <i x="67" s="1"/>
        <i x="56" s="1"/>
        <i x="15" s="1"/>
        <i x="64" s="1"/>
        <i x="96" s="1"/>
        <i x="42" s="1"/>
        <i x="78" s="1"/>
        <i x="108" s="1"/>
        <i x="49" s="1"/>
        <i x="46" s="1"/>
        <i x="83" s="1"/>
        <i x="103" s="1"/>
        <i x="44" s="1"/>
        <i x="55" s="1"/>
        <i x="36" s="1"/>
        <i x="48" s="1"/>
        <i x="75" s="1"/>
        <i x="53" s="1"/>
        <i x="7" s="1"/>
        <i x="35" s="1"/>
        <i x="72" s="1"/>
        <i x="25" s="1"/>
        <i x="30" s="1"/>
        <i x="23" s="1"/>
        <i x="10" s="1"/>
        <i x="81" s="1"/>
        <i x="62" s="1"/>
        <i x="98" s="1"/>
        <i x="68" s="1"/>
        <i x="24" s="1"/>
        <i x="17" s="1"/>
        <i x="13" s="1"/>
        <i x="8" s="1"/>
        <i x="39" s="1"/>
        <i x="32" s="1"/>
        <i x="22" s="1"/>
        <i x="102" s="1"/>
        <i x="18" s="1"/>
        <i x="77" s="1"/>
        <i x="1" s="1"/>
        <i x="95" s="1"/>
        <i x="41" s="1"/>
        <i x="14" s="1"/>
        <i x="86" s="1"/>
        <i x="29" s="1"/>
        <i x="52" s="1"/>
        <i x="59" s="1"/>
        <i x="82" s="1"/>
        <i x="84" s="1"/>
        <i x="16" s="1"/>
        <i x="50" s="1"/>
        <i x="51" s="1"/>
        <i x="4" s="1"/>
        <i x="2" s="1"/>
        <i x="93" s="1"/>
        <i x="26" s="1"/>
        <i x="88" s="1"/>
        <i x="37" s="1"/>
        <i x="89" s="1"/>
        <i x="43" s="1"/>
        <i x="104" s="1"/>
        <i x="54" s="1"/>
        <i x="105" s="1"/>
        <i x="63" s="1"/>
        <i x="87" s="1"/>
        <i x="92" s="1"/>
        <i x="107" s="1"/>
        <i x="85" s="1"/>
        <i x="69" s="1"/>
        <i x="3" s="1"/>
        <i x="7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 xr10:uid="{F2148F06-915B-4846-9330-86C140FA5B28}" sourceName="Review">
  <pivotTables>
    <pivotTable tabId="14" name="PivotTable20"/>
    <pivotTable tabId="15" name="PivotTable21"/>
  </pivotTables>
  <data>
    <tabular pivotCacheId="101602585">
      <items count="24">
        <i x="14" s="1"/>
        <i x="18" s="1"/>
        <i x="0" s="1"/>
        <i x="11" s="1"/>
        <i x="4" s="1"/>
        <i x="9" s="1"/>
        <i x="3" s="1"/>
        <i x="10" s="1"/>
        <i x="20" s="1"/>
        <i x="7" s="1"/>
        <i x="13" s="1"/>
        <i x="1" s="1"/>
        <i x="5" s="1"/>
        <i x="22" s="1"/>
        <i x="23" s="1"/>
        <i x="16" s="1"/>
        <i x="2" s="1"/>
        <i x="17" s="1"/>
        <i x="19" s="1"/>
        <i x="8" s="1"/>
        <i x="12" s="1"/>
        <i x="15" s="1"/>
        <i x="6" s="1"/>
        <i x="2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291F285-BD2C-438C-8D16-F16577768C31}" sourceName="Product">
  <pivotTables>
    <pivotTable tabId="13" name="PivotTable19"/>
  </pivotTables>
  <data>
    <tabular pivotCacheId="101602585">
      <items count="109">
        <i x="38" s="1"/>
        <i x="11" s="1"/>
        <i x="0" s="1"/>
        <i x="27" s="1"/>
        <i x="31" s="1"/>
        <i x="61" s="1"/>
        <i x="57" s="1"/>
        <i x="9" s="1"/>
        <i x="6" s="1"/>
        <i x="101" s="1"/>
        <i x="80" s="1"/>
        <i x="5" s="1"/>
        <i x="100" s="1"/>
        <i x="91" s="1"/>
        <i x="47" s="1"/>
        <i x="73" s="1"/>
        <i x="66" s="1"/>
        <i x="65" s="1"/>
        <i x="19" s="1"/>
        <i x="74" s="1"/>
        <i x="20" s="1"/>
        <i x="94" s="1"/>
        <i x="12" s="1"/>
        <i x="40" s="1"/>
        <i x="21" s="1"/>
        <i x="58" s="1"/>
        <i x="28" s="1"/>
        <i x="34" s="1"/>
        <i x="33" s="1"/>
        <i x="79" s="1"/>
        <i x="60" s="1"/>
        <i x="106" s="1"/>
        <i x="90" s="1"/>
        <i x="45" s="1"/>
        <i x="76" s="1"/>
        <i x="71" s="1"/>
        <i x="97" s="1"/>
        <i x="99" s="1"/>
        <i x="67" s="1"/>
        <i x="56" s="1"/>
        <i x="15" s="1"/>
        <i x="64" s="1"/>
        <i x="96" s="1"/>
        <i x="42" s="1"/>
        <i x="78" s="1"/>
        <i x="108" s="1"/>
        <i x="49" s="1"/>
        <i x="46" s="1"/>
        <i x="83" s="1"/>
        <i x="103" s="1"/>
        <i x="44" s="1"/>
        <i x="55" s="1"/>
        <i x="36" s="1"/>
        <i x="48" s="1"/>
        <i x="75" s="1"/>
        <i x="53" s="1"/>
        <i x="7" s="1"/>
        <i x="35" s="1"/>
        <i x="72" s="1"/>
        <i x="25" s="1"/>
        <i x="30" s="1"/>
        <i x="23" s="1"/>
        <i x="10" s="1"/>
        <i x="81" s="1"/>
        <i x="62" s="1"/>
        <i x="98" s="1"/>
        <i x="68" s="1"/>
        <i x="24" s="1"/>
        <i x="17" s="1"/>
        <i x="13" s="1"/>
        <i x="8" s="1"/>
        <i x="39" s="1"/>
        <i x="32" s="1"/>
        <i x="22" s="1"/>
        <i x="102" s="1"/>
        <i x="18" s="1"/>
        <i x="77" s="1"/>
        <i x="1" s="1"/>
        <i x="95" s="1"/>
        <i x="41" s="1"/>
        <i x="14" s="1"/>
        <i x="86" s="1"/>
        <i x="29" s="1"/>
        <i x="52" s="1"/>
        <i x="59" s="1"/>
        <i x="82" s="1"/>
        <i x="84" s="1"/>
        <i x="16" s="1"/>
        <i x="50" s="1"/>
        <i x="51" s="1"/>
        <i x="4" s="1"/>
        <i x="2" s="1"/>
        <i x="93" s="1"/>
        <i x="26" s="1"/>
        <i x="88" s="1"/>
        <i x="37" s="1"/>
        <i x="89" s="1"/>
        <i x="43" s="1"/>
        <i x="104" s="1"/>
        <i x="54" s="1"/>
        <i x="105" s="1"/>
        <i x="63" s="1"/>
        <i x="87" s="1"/>
        <i x="92" s="1"/>
        <i x="107" s="1"/>
        <i x="85" s="1"/>
        <i x="69" s="1"/>
        <i x="3" s="1"/>
        <i x="7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1" xr10:uid="{7C9271A6-B9E8-4CDF-AB2C-0C2D17077A5C}" sourceName="Rating">
  <pivotTables>
    <pivotTable tabId="13" name="PivotTable19"/>
    <pivotTable tabId="15" name="PivotTable21"/>
  </pivotTables>
  <data>
    <tabular pivotCacheId="101602585">
      <items count="7">
        <i x="1" s="1"/>
        <i x="3" s="1"/>
        <i x="4" s="1"/>
        <i x="5" s="1"/>
        <i x="0" s="1" nd="1"/>
        <i x="6" s="1" nd="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B2AE9AA1-C818-4FB9-95EC-B07D619A81AF}" sourceName="Product">
  <pivotTables>
    <pivotTable tabId="15" name="PivotTable21"/>
  </pivotTables>
  <data>
    <tabular pivotCacheId="101602585">
      <items count="109">
        <i x="38" s="1"/>
        <i x="11" s="1"/>
        <i x="0" s="1"/>
        <i x="27" s="1"/>
        <i x="31" s="1"/>
        <i x="61" s="1"/>
        <i x="57" s="1"/>
        <i x="9" s="1"/>
        <i x="6" s="1"/>
        <i x="101" s="1"/>
        <i x="80" s="1"/>
        <i x="5" s="1"/>
        <i x="100" s="1"/>
        <i x="91" s="1"/>
        <i x="47" s="1"/>
        <i x="73" s="1"/>
        <i x="66" s="1"/>
        <i x="65" s="1"/>
        <i x="19" s="1"/>
        <i x="74" s="1"/>
        <i x="20" s="1"/>
        <i x="94" s="1"/>
        <i x="12" s="1"/>
        <i x="40" s="1"/>
        <i x="21" s="1"/>
        <i x="58" s="1"/>
        <i x="28" s="1"/>
        <i x="34" s="1"/>
        <i x="33" s="1"/>
        <i x="79" s="1"/>
        <i x="60" s="1"/>
        <i x="106" s="1"/>
        <i x="90" s="1"/>
        <i x="45" s="1"/>
        <i x="76" s="1"/>
        <i x="71" s="1"/>
        <i x="97" s="1"/>
        <i x="99" s="1"/>
        <i x="67" s="1"/>
        <i x="56" s="1"/>
        <i x="15" s="1"/>
        <i x="64" s="1"/>
        <i x="96" s="1"/>
        <i x="42" s="1"/>
        <i x="78" s="1"/>
        <i x="108" s="1"/>
        <i x="49" s="1"/>
        <i x="46" s="1"/>
        <i x="83" s="1"/>
        <i x="103" s="1"/>
        <i x="44" s="1"/>
        <i x="55" s="1"/>
        <i x="36" s="1"/>
        <i x="48" s="1"/>
        <i x="75" s="1"/>
        <i x="53" s="1"/>
        <i x="7" s="1"/>
        <i x="35" s="1"/>
        <i x="72" s="1"/>
        <i x="25" s="1"/>
        <i x="30" s="1"/>
        <i x="23" s="1"/>
        <i x="10" s="1"/>
        <i x="81" s="1"/>
        <i x="62" s="1"/>
        <i x="98" s="1"/>
        <i x="68" s="1"/>
        <i x="24" s="1"/>
        <i x="17" s="1"/>
        <i x="13" s="1"/>
        <i x="8" s="1"/>
        <i x="39" s="1"/>
        <i x="32" s="1"/>
        <i x="22" s="1"/>
        <i x="102" s="1"/>
        <i x="18" s="1"/>
        <i x="77" s="1"/>
        <i x="1" s="1"/>
        <i x="95" s="1"/>
        <i x="41" s="1"/>
        <i x="14" s="1"/>
        <i x="86" s="1"/>
        <i x="29" s="1"/>
        <i x="52" s="1"/>
        <i x="59" s="1"/>
        <i x="82" s="1"/>
        <i x="84" s="1"/>
        <i x="16" s="1"/>
        <i x="50" s="1"/>
        <i x="51" s="1"/>
        <i x="4" s="1"/>
        <i x="2" s="1"/>
        <i x="93" s="1"/>
        <i x="26" s="1"/>
        <i x="88" s="1"/>
        <i x="37" s="1"/>
        <i x="89" s="1"/>
        <i x="43" s="1"/>
        <i x="104" s="1"/>
        <i x="54" s="1"/>
        <i x="105" s="1"/>
        <i x="63" s="1"/>
        <i x="87" s="1"/>
        <i x="92" s="1"/>
        <i x="107" s="1"/>
        <i x="85" s="1"/>
        <i x="69" s="1"/>
        <i x="3" s="1"/>
        <i x="7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5C0EE0D8-8745-43ED-98B4-4F3C035AF6FE}" sourceName="Discount ">
  <pivotTables>
    <pivotTable tabId="15" name="PivotTable21"/>
  </pivotTables>
  <data>
    <tabular pivotCacheId="101602585">
      <items count="9">
        <i x="1" s="1"/>
        <i x="2" s="1"/>
        <i x="3" s="1"/>
        <i x="4" s="1"/>
        <i x="5" s="1"/>
        <i x="6" s="1"/>
        <i x="7" s="1"/>
        <i x="0"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1" xr10:uid="{2F9FCCE9-7CA3-413E-B21D-DEEAB713AFAC}" cache="Slicer_Review" caption="Review" startItem="5" rowHeight="241300"/>
  <slicer name="Rating 2" xr10:uid="{66AB3D11-069D-46BA-A993-F9FDDB716018}" cache="Slicer_Rating1" caption="Rating" rowHeight="241300"/>
  <slicer name="Discount  1" xr10:uid="{73C6BDF9-4132-4507-A287-9C47D80A7283}" cache="Slicer_Discount" caption="Discount "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B64F390-E9BC-4C45-9EA7-2D2FCFEE7FAE}" cache="Slicer_Product1" caption="Product" rowHeight="241300"/>
  <slicer name="Rating 1" xr10:uid="{977FAA77-0CB9-48FD-8B45-9FC2A5E5FA63}" cache="Slicer_Rating1" caption="Rating"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483991C-B9A1-4594-B992-46AAC3ADF912}" cache="Slicer_Product" caption="Product" rowHeight="241300"/>
  <slicer name="Review" xr10:uid="{778E6278-6F8A-4FB1-A41C-7D08AEF884F0}" cache="Slicer_Review" caption="Review"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377E25E2-7C6F-4C1A-AE96-998577D09AF2}" cache="Slicer_Product2" caption="Product" rowHeight="241300"/>
  <slicer name="Discount " xr10:uid="{3AA125CB-9B5A-426B-925F-C6BB0A12ADCA}" cache="Slicer_Discount" caption="Discount "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1B365-53A7-479F-98D5-D51BB56B7917}">
  <dimension ref="A3:A16"/>
  <sheetViews>
    <sheetView workbookViewId="0">
      <selection activeCell="A3" sqref="A3"/>
    </sheetView>
  </sheetViews>
  <sheetFormatPr defaultRowHeight="15" x14ac:dyDescent="0.25"/>
  <cols>
    <col min="1" max="1" width="18.7109375" bestFit="1" customWidth="1"/>
    <col min="2" max="2" width="16.28515625" bestFit="1" customWidth="1"/>
    <col min="3" max="13" width="3" bestFit="1" customWidth="1"/>
    <col min="14" max="87" width="4" bestFit="1" customWidth="1"/>
    <col min="88" max="104" width="5" bestFit="1" customWidth="1"/>
    <col min="105" max="105" width="11.28515625" bestFit="1" customWidth="1"/>
  </cols>
  <sheetData>
    <row r="3" spans="1:1" x14ac:dyDescent="0.25">
      <c r="A3" s="5" t="s">
        <v>128</v>
      </c>
    </row>
    <row r="4" spans="1:1" x14ac:dyDescent="0.25">
      <c r="A4" s="6" t="s">
        <v>123</v>
      </c>
    </row>
    <row r="5" spans="1:1" x14ac:dyDescent="0.25">
      <c r="A5" s="7" t="s">
        <v>115</v>
      </c>
    </row>
    <row r="6" spans="1:1" x14ac:dyDescent="0.25">
      <c r="A6" s="7" t="s">
        <v>121</v>
      </c>
    </row>
    <row r="7" spans="1:1" x14ac:dyDescent="0.25">
      <c r="A7" s="7" t="s">
        <v>125</v>
      </c>
    </row>
    <row r="8" spans="1:1" x14ac:dyDescent="0.25">
      <c r="A8" s="6" t="s">
        <v>124</v>
      </c>
    </row>
    <row r="9" spans="1:1" x14ac:dyDescent="0.25">
      <c r="A9" s="7" t="s">
        <v>115</v>
      </c>
    </row>
    <row r="10" spans="1:1" x14ac:dyDescent="0.25">
      <c r="A10" s="7" t="s">
        <v>121</v>
      </c>
    </row>
    <row r="11" spans="1:1" x14ac:dyDescent="0.25">
      <c r="A11" s="7" t="s">
        <v>125</v>
      </c>
    </row>
    <row r="12" spans="1:1" x14ac:dyDescent="0.25">
      <c r="A12" s="6" t="s">
        <v>122</v>
      </c>
    </row>
    <row r="13" spans="1:1" x14ac:dyDescent="0.25">
      <c r="A13" s="7" t="s">
        <v>115</v>
      </c>
    </row>
    <row r="14" spans="1:1" x14ac:dyDescent="0.25">
      <c r="A14" s="7" t="s">
        <v>121</v>
      </c>
    </row>
    <row r="15" spans="1:1" x14ac:dyDescent="0.25">
      <c r="A15" s="7" t="s">
        <v>125</v>
      </c>
    </row>
    <row r="16" spans="1:1" x14ac:dyDescent="0.25">
      <c r="A16" s="6" t="s">
        <v>129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48DA-1EDC-40C8-B8A1-97B3632F396D}">
  <dimension ref="A1"/>
  <sheetViews>
    <sheetView workbookViewId="0">
      <selection activeCell="B10" sqref="B10"/>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D5D03-F99B-4A20-BA1E-B84B3FD0FA18}">
  <dimension ref="A2:D4"/>
  <sheetViews>
    <sheetView workbookViewId="0">
      <selection activeCell="A7" sqref="A7"/>
    </sheetView>
  </sheetViews>
  <sheetFormatPr defaultRowHeight="15" x14ac:dyDescent="0.25"/>
  <cols>
    <col min="1" max="1" width="16.7109375" bestFit="1" customWidth="1"/>
    <col min="2" max="2" width="23" bestFit="1" customWidth="1"/>
    <col min="3" max="3" width="19.42578125" bestFit="1" customWidth="1"/>
    <col min="4" max="4" width="19.28515625" bestFit="1" customWidth="1"/>
  </cols>
  <sheetData>
    <row r="2" spans="1:4" x14ac:dyDescent="0.25">
      <c r="A2" s="11" t="s">
        <v>134</v>
      </c>
      <c r="B2" s="11"/>
      <c r="C2" s="11"/>
    </row>
    <row r="3" spans="1:4" x14ac:dyDescent="0.25">
      <c r="A3" t="s">
        <v>130</v>
      </c>
      <c r="B3" t="s">
        <v>131</v>
      </c>
      <c r="C3" t="s">
        <v>132</v>
      </c>
      <c r="D3" t="s">
        <v>133</v>
      </c>
    </row>
    <row r="4" spans="1:4" x14ac:dyDescent="0.25">
      <c r="A4">
        <v>1.9794642857142855</v>
      </c>
      <c r="B4">
        <v>1186.8928571428571</v>
      </c>
      <c r="C4" s="1">
        <v>0.36776785714285715</v>
      </c>
      <c r="D4">
        <v>1811.1071428571429</v>
      </c>
    </row>
  </sheetData>
  <mergeCells count="1">
    <mergeCell ref="A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4FCB9-449D-4F0F-83B2-33C5DE4680BE}">
  <dimension ref="A3:B113"/>
  <sheetViews>
    <sheetView workbookViewId="0">
      <selection activeCell="B29" sqref="B29"/>
    </sheetView>
  </sheetViews>
  <sheetFormatPr defaultRowHeight="15" x14ac:dyDescent="0.25"/>
  <cols>
    <col min="1" max="1" width="95.7109375" bestFit="1" customWidth="1"/>
    <col min="2" max="2" width="23.85546875" bestFit="1" customWidth="1"/>
  </cols>
  <sheetData>
    <row r="3" spans="1:2" x14ac:dyDescent="0.25">
      <c r="A3" s="5" t="s">
        <v>128</v>
      </c>
      <c r="B3" t="s">
        <v>135</v>
      </c>
    </row>
    <row r="4" spans="1:2" x14ac:dyDescent="0.25">
      <c r="A4" s="6" t="s">
        <v>68</v>
      </c>
      <c r="B4">
        <v>3750</v>
      </c>
    </row>
    <row r="5" spans="1:2" x14ac:dyDescent="0.25">
      <c r="A5" s="6" t="s">
        <v>100</v>
      </c>
      <c r="B5">
        <v>3640</v>
      </c>
    </row>
    <row r="6" spans="1:2" x14ac:dyDescent="0.25">
      <c r="A6" s="6" t="s">
        <v>97</v>
      </c>
      <c r="B6">
        <v>3546</v>
      </c>
    </row>
    <row r="7" spans="1:2" x14ac:dyDescent="0.25">
      <c r="A7" s="6" t="s">
        <v>21</v>
      </c>
      <c r="B7">
        <v>2999</v>
      </c>
    </row>
    <row r="8" spans="1:2" x14ac:dyDescent="0.25">
      <c r="A8" s="6" t="s">
        <v>8</v>
      </c>
      <c r="B8">
        <v>2999</v>
      </c>
    </row>
    <row r="9" spans="1:2" x14ac:dyDescent="0.25">
      <c r="A9" s="6" t="s">
        <v>29</v>
      </c>
      <c r="B9">
        <v>2880</v>
      </c>
    </row>
    <row r="10" spans="1:2" x14ac:dyDescent="0.25">
      <c r="A10" s="6" t="s">
        <v>59</v>
      </c>
      <c r="B10">
        <v>2799</v>
      </c>
    </row>
    <row r="11" spans="1:2" x14ac:dyDescent="0.25">
      <c r="A11" s="6" t="s">
        <v>41</v>
      </c>
      <c r="B11">
        <v>2750</v>
      </c>
    </row>
    <row r="12" spans="1:2" x14ac:dyDescent="0.25">
      <c r="A12" s="6" t="s">
        <v>9</v>
      </c>
      <c r="B12">
        <v>2319</v>
      </c>
    </row>
    <row r="13" spans="1:2" x14ac:dyDescent="0.25">
      <c r="A13" s="6" t="s">
        <v>70</v>
      </c>
      <c r="B13">
        <v>2300</v>
      </c>
    </row>
    <row r="14" spans="1:2" x14ac:dyDescent="0.25">
      <c r="A14" s="6" t="s">
        <v>111</v>
      </c>
      <c r="B14">
        <v>2200</v>
      </c>
    </row>
    <row r="15" spans="1:2" x14ac:dyDescent="0.25">
      <c r="A15" s="6" t="s">
        <v>5</v>
      </c>
      <c r="B15">
        <v>2199</v>
      </c>
    </row>
    <row r="16" spans="1:2" x14ac:dyDescent="0.25">
      <c r="A16" s="6" t="s">
        <v>60</v>
      </c>
      <c r="B16">
        <v>2170</v>
      </c>
    </row>
    <row r="17" spans="1:2" x14ac:dyDescent="0.25">
      <c r="A17" s="6" t="s">
        <v>45</v>
      </c>
      <c r="B17">
        <v>2132</v>
      </c>
    </row>
    <row r="18" spans="1:2" x14ac:dyDescent="0.25">
      <c r="A18" s="6" t="s">
        <v>62</v>
      </c>
      <c r="B18">
        <v>2115</v>
      </c>
    </row>
    <row r="19" spans="1:2" x14ac:dyDescent="0.25">
      <c r="A19" s="6" t="s">
        <v>27</v>
      </c>
      <c r="B19">
        <v>2048</v>
      </c>
    </row>
    <row r="20" spans="1:2" x14ac:dyDescent="0.25">
      <c r="A20" s="6" t="s">
        <v>20</v>
      </c>
      <c r="B20">
        <v>2025</v>
      </c>
    </row>
    <row r="21" spans="1:2" x14ac:dyDescent="0.25">
      <c r="A21" s="6" t="s">
        <v>36</v>
      </c>
      <c r="B21">
        <v>1980</v>
      </c>
    </row>
    <row r="22" spans="1:2" x14ac:dyDescent="0.25">
      <c r="A22" s="6" t="s">
        <v>35</v>
      </c>
      <c r="B22">
        <v>1940</v>
      </c>
    </row>
    <row r="23" spans="1:2" x14ac:dyDescent="0.25">
      <c r="A23" s="6" t="s">
        <v>102</v>
      </c>
      <c r="B23">
        <v>1875</v>
      </c>
    </row>
    <row r="24" spans="1:2" x14ac:dyDescent="0.25">
      <c r="A24" s="6" t="s">
        <v>24</v>
      </c>
      <c r="B24">
        <v>1860</v>
      </c>
    </row>
    <row r="25" spans="1:2" x14ac:dyDescent="0.25">
      <c r="A25" s="6" t="s">
        <v>34</v>
      </c>
      <c r="B25">
        <v>1820</v>
      </c>
    </row>
    <row r="26" spans="1:2" x14ac:dyDescent="0.25">
      <c r="A26" s="6" t="s">
        <v>40</v>
      </c>
      <c r="B26">
        <v>1800</v>
      </c>
    </row>
    <row r="27" spans="1:2" x14ac:dyDescent="0.25">
      <c r="A27" s="6" t="s">
        <v>107</v>
      </c>
      <c r="B27">
        <v>1768</v>
      </c>
    </row>
    <row r="28" spans="1:2" x14ac:dyDescent="0.25">
      <c r="A28" s="6" t="s">
        <v>31</v>
      </c>
      <c r="B28">
        <v>1758</v>
      </c>
    </row>
    <row r="29" spans="1:2" x14ac:dyDescent="0.25">
      <c r="A29" s="6" t="s">
        <v>7</v>
      </c>
      <c r="B29">
        <v>1740</v>
      </c>
    </row>
    <row r="30" spans="1:2" x14ac:dyDescent="0.25">
      <c r="A30" s="6" t="s">
        <v>77</v>
      </c>
      <c r="B30">
        <v>1732</v>
      </c>
    </row>
    <row r="31" spans="1:2" x14ac:dyDescent="0.25">
      <c r="A31" s="6" t="s">
        <v>17</v>
      </c>
      <c r="B31">
        <v>1680</v>
      </c>
    </row>
    <row r="32" spans="1:2" x14ac:dyDescent="0.25">
      <c r="A32" s="6" t="s">
        <v>82</v>
      </c>
      <c r="B32">
        <v>1666</v>
      </c>
    </row>
    <row r="33" spans="1:2" x14ac:dyDescent="0.25">
      <c r="A33" s="6" t="s">
        <v>52</v>
      </c>
      <c r="B33">
        <v>1660</v>
      </c>
    </row>
    <row r="34" spans="1:2" x14ac:dyDescent="0.25">
      <c r="A34" s="6" t="s">
        <v>106</v>
      </c>
      <c r="B34">
        <v>1658</v>
      </c>
    </row>
    <row r="35" spans="1:2" x14ac:dyDescent="0.25">
      <c r="A35" s="6" t="s">
        <v>26</v>
      </c>
      <c r="B35">
        <v>1650</v>
      </c>
    </row>
    <row r="36" spans="1:2" x14ac:dyDescent="0.25">
      <c r="A36" s="6" t="s">
        <v>37</v>
      </c>
      <c r="B36">
        <v>1620</v>
      </c>
    </row>
    <row r="37" spans="1:2" x14ac:dyDescent="0.25">
      <c r="A37" s="6" t="s">
        <v>12</v>
      </c>
      <c r="B37">
        <v>1600</v>
      </c>
    </row>
    <row r="38" spans="1:2" x14ac:dyDescent="0.25">
      <c r="A38" s="6" t="s">
        <v>6</v>
      </c>
      <c r="B38">
        <v>1580</v>
      </c>
    </row>
    <row r="39" spans="1:2" x14ac:dyDescent="0.25">
      <c r="A39" s="6" t="s">
        <v>74</v>
      </c>
      <c r="B39">
        <v>1570</v>
      </c>
    </row>
    <row r="40" spans="1:2" x14ac:dyDescent="0.25">
      <c r="A40" s="6" t="s">
        <v>94</v>
      </c>
      <c r="B40">
        <v>1526</v>
      </c>
    </row>
    <row r="41" spans="1:2" x14ac:dyDescent="0.25">
      <c r="A41" s="6" t="s">
        <v>87</v>
      </c>
      <c r="B41">
        <v>1468</v>
      </c>
    </row>
    <row r="42" spans="1:2" x14ac:dyDescent="0.25">
      <c r="A42" s="6" t="s">
        <v>84</v>
      </c>
      <c r="B42">
        <v>1466</v>
      </c>
    </row>
    <row r="43" spans="1:2" x14ac:dyDescent="0.25">
      <c r="A43" s="6" t="s">
        <v>95</v>
      </c>
      <c r="B43">
        <v>1462</v>
      </c>
    </row>
    <row r="44" spans="1:2" x14ac:dyDescent="0.25">
      <c r="A44" s="6" t="s">
        <v>81</v>
      </c>
      <c r="B44">
        <v>1460</v>
      </c>
    </row>
    <row r="45" spans="1:2" x14ac:dyDescent="0.25">
      <c r="A45" s="6" t="s">
        <v>54</v>
      </c>
      <c r="B45">
        <v>1459</v>
      </c>
    </row>
    <row r="46" spans="1:2" x14ac:dyDescent="0.25">
      <c r="A46" s="6" t="s">
        <v>101</v>
      </c>
      <c r="B46">
        <v>1420</v>
      </c>
    </row>
    <row r="47" spans="1:2" x14ac:dyDescent="0.25">
      <c r="A47" s="6" t="s">
        <v>30</v>
      </c>
      <c r="B47">
        <v>1350</v>
      </c>
    </row>
    <row r="48" spans="1:2" x14ac:dyDescent="0.25">
      <c r="A48" s="6" t="s">
        <v>90</v>
      </c>
      <c r="B48">
        <v>1300</v>
      </c>
    </row>
    <row r="49" spans="1:2" x14ac:dyDescent="0.25">
      <c r="A49" s="6" t="s">
        <v>11</v>
      </c>
      <c r="B49">
        <v>1274</v>
      </c>
    </row>
    <row r="50" spans="1:2" x14ac:dyDescent="0.25">
      <c r="A50" s="6" t="s">
        <v>65</v>
      </c>
      <c r="B50">
        <v>1220</v>
      </c>
    </row>
    <row r="51" spans="1:2" x14ac:dyDescent="0.25">
      <c r="A51" s="6" t="s">
        <v>49</v>
      </c>
      <c r="B51">
        <v>1200</v>
      </c>
    </row>
    <row r="52" spans="1:2" x14ac:dyDescent="0.25">
      <c r="A52" s="6" t="s">
        <v>93</v>
      </c>
      <c r="B52">
        <v>1200</v>
      </c>
    </row>
    <row r="53" spans="1:2" x14ac:dyDescent="0.25">
      <c r="A53" s="6" t="s">
        <v>47</v>
      </c>
      <c r="B53">
        <v>1190</v>
      </c>
    </row>
    <row r="54" spans="1:2" x14ac:dyDescent="0.25">
      <c r="A54" s="6" t="s">
        <v>105</v>
      </c>
      <c r="B54">
        <v>1190</v>
      </c>
    </row>
    <row r="55" spans="1:2" x14ac:dyDescent="0.25">
      <c r="A55" s="6" t="s">
        <v>79</v>
      </c>
      <c r="B55">
        <v>1189</v>
      </c>
    </row>
    <row r="56" spans="1:2" x14ac:dyDescent="0.25">
      <c r="A56" s="6" t="s">
        <v>104</v>
      </c>
      <c r="B56">
        <v>1150</v>
      </c>
    </row>
    <row r="57" spans="1:2" x14ac:dyDescent="0.25">
      <c r="A57" s="6" t="s">
        <v>99</v>
      </c>
      <c r="B57">
        <v>1080</v>
      </c>
    </row>
    <row r="58" spans="1:2" x14ac:dyDescent="0.25">
      <c r="A58" s="6" t="s">
        <v>67</v>
      </c>
      <c r="B58">
        <v>1000</v>
      </c>
    </row>
    <row r="59" spans="1:2" x14ac:dyDescent="0.25">
      <c r="A59" s="6" t="s">
        <v>46</v>
      </c>
      <c r="B59">
        <v>999</v>
      </c>
    </row>
    <row r="60" spans="1:2" x14ac:dyDescent="0.25">
      <c r="A60" s="6" t="s">
        <v>22</v>
      </c>
      <c r="B60">
        <v>998</v>
      </c>
    </row>
    <row r="61" spans="1:2" x14ac:dyDescent="0.25">
      <c r="A61" s="6" t="s">
        <v>66</v>
      </c>
      <c r="B61">
        <v>990</v>
      </c>
    </row>
    <row r="62" spans="1:2" x14ac:dyDescent="0.25">
      <c r="A62" s="6" t="s">
        <v>14</v>
      </c>
      <c r="B62">
        <v>990</v>
      </c>
    </row>
    <row r="63" spans="1:2" x14ac:dyDescent="0.25">
      <c r="A63" s="6" t="s">
        <v>10</v>
      </c>
      <c r="B63">
        <v>988</v>
      </c>
    </row>
    <row r="64" spans="1:2" x14ac:dyDescent="0.25">
      <c r="A64" s="6" t="s">
        <v>33</v>
      </c>
      <c r="B64">
        <v>980</v>
      </c>
    </row>
    <row r="65" spans="1:2" x14ac:dyDescent="0.25">
      <c r="A65" s="6" t="s">
        <v>80</v>
      </c>
      <c r="B65">
        <v>979</v>
      </c>
    </row>
    <row r="66" spans="1:2" x14ac:dyDescent="0.25">
      <c r="A66" s="6" t="s">
        <v>73</v>
      </c>
      <c r="B66">
        <v>968</v>
      </c>
    </row>
    <row r="67" spans="1:2" x14ac:dyDescent="0.25">
      <c r="A67" s="6" t="s">
        <v>3</v>
      </c>
      <c r="B67">
        <v>950</v>
      </c>
    </row>
    <row r="68" spans="1:2" x14ac:dyDescent="0.25">
      <c r="A68" s="6" t="s">
        <v>92</v>
      </c>
      <c r="B68">
        <v>899</v>
      </c>
    </row>
    <row r="69" spans="1:2" x14ac:dyDescent="0.25">
      <c r="A69" s="6" t="s">
        <v>25</v>
      </c>
      <c r="B69">
        <v>880</v>
      </c>
    </row>
    <row r="70" spans="1:2" x14ac:dyDescent="0.25">
      <c r="A70" s="6" t="s">
        <v>89</v>
      </c>
      <c r="B70">
        <v>850</v>
      </c>
    </row>
    <row r="71" spans="1:2" x14ac:dyDescent="0.25">
      <c r="A71" s="6" t="s">
        <v>55</v>
      </c>
      <c r="B71">
        <v>799</v>
      </c>
    </row>
    <row r="72" spans="1:2" x14ac:dyDescent="0.25">
      <c r="A72" s="6" t="s">
        <v>13</v>
      </c>
      <c r="B72">
        <v>799</v>
      </c>
    </row>
    <row r="73" spans="1:2" x14ac:dyDescent="0.25">
      <c r="A73" s="6" t="s">
        <v>58</v>
      </c>
      <c r="B73">
        <v>799</v>
      </c>
    </row>
    <row r="74" spans="1:2" x14ac:dyDescent="0.25">
      <c r="A74" s="6" t="s">
        <v>86</v>
      </c>
      <c r="B74">
        <v>799</v>
      </c>
    </row>
    <row r="75" spans="1:2" x14ac:dyDescent="0.25">
      <c r="A75" s="6" t="s">
        <v>75</v>
      </c>
      <c r="B75">
        <v>790</v>
      </c>
    </row>
    <row r="76" spans="1:2" x14ac:dyDescent="0.25">
      <c r="A76" s="6" t="s">
        <v>57</v>
      </c>
      <c r="B76">
        <v>699</v>
      </c>
    </row>
    <row r="77" spans="1:2" x14ac:dyDescent="0.25">
      <c r="A77" s="6" t="s">
        <v>76</v>
      </c>
      <c r="B77">
        <v>690</v>
      </c>
    </row>
    <row r="78" spans="1:2" x14ac:dyDescent="0.25">
      <c r="A78" s="6" t="s">
        <v>48</v>
      </c>
      <c r="B78">
        <v>671</v>
      </c>
    </row>
    <row r="79" spans="1:2" x14ac:dyDescent="0.25">
      <c r="A79" s="6" t="s">
        <v>88</v>
      </c>
      <c r="B79">
        <v>630</v>
      </c>
    </row>
    <row r="80" spans="1:2" x14ac:dyDescent="0.25">
      <c r="A80" s="6" t="s">
        <v>44</v>
      </c>
      <c r="B80">
        <v>610</v>
      </c>
    </row>
    <row r="81" spans="1:2" x14ac:dyDescent="0.25">
      <c r="A81" s="6" t="s">
        <v>15</v>
      </c>
      <c r="B81">
        <v>552</v>
      </c>
    </row>
    <row r="82" spans="1:2" x14ac:dyDescent="0.25">
      <c r="A82" s="6" t="s">
        <v>4</v>
      </c>
      <c r="B82">
        <v>527</v>
      </c>
    </row>
    <row r="83" spans="1:2" x14ac:dyDescent="0.25">
      <c r="A83" s="6" t="s">
        <v>98</v>
      </c>
      <c r="B83">
        <v>525</v>
      </c>
    </row>
    <row r="84" spans="1:2" x14ac:dyDescent="0.25">
      <c r="A84" s="6" t="s">
        <v>72</v>
      </c>
      <c r="B84">
        <v>509</v>
      </c>
    </row>
    <row r="85" spans="1:2" x14ac:dyDescent="0.25">
      <c r="A85" s="6" t="s">
        <v>16</v>
      </c>
      <c r="B85">
        <v>501</v>
      </c>
    </row>
    <row r="86" spans="1:2" x14ac:dyDescent="0.25">
      <c r="A86" s="6" t="s">
        <v>56</v>
      </c>
      <c r="B86">
        <v>499</v>
      </c>
    </row>
    <row r="87" spans="1:2" x14ac:dyDescent="0.25">
      <c r="A87" s="6" t="s">
        <v>42</v>
      </c>
      <c r="B87">
        <v>475</v>
      </c>
    </row>
    <row r="88" spans="1:2" x14ac:dyDescent="0.25">
      <c r="A88" s="6" t="s">
        <v>61</v>
      </c>
      <c r="B88">
        <v>458</v>
      </c>
    </row>
    <row r="89" spans="1:2" x14ac:dyDescent="0.25">
      <c r="A89" s="6" t="s">
        <v>109</v>
      </c>
      <c r="B89">
        <v>450</v>
      </c>
    </row>
    <row r="90" spans="1:2" x14ac:dyDescent="0.25">
      <c r="A90" s="6" t="s">
        <v>63</v>
      </c>
      <c r="B90">
        <v>445</v>
      </c>
    </row>
    <row r="91" spans="1:2" x14ac:dyDescent="0.25">
      <c r="A91" s="6" t="s">
        <v>28</v>
      </c>
      <c r="B91">
        <v>420</v>
      </c>
    </row>
    <row r="92" spans="1:2" x14ac:dyDescent="0.25">
      <c r="A92" s="6" t="s">
        <v>39</v>
      </c>
      <c r="B92">
        <v>389</v>
      </c>
    </row>
    <row r="93" spans="1:2" x14ac:dyDescent="0.25">
      <c r="A93" s="6" t="s">
        <v>69</v>
      </c>
      <c r="B93">
        <v>382</v>
      </c>
    </row>
    <row r="94" spans="1:2" x14ac:dyDescent="0.25">
      <c r="A94" s="6" t="s">
        <v>71</v>
      </c>
      <c r="B94">
        <v>345</v>
      </c>
    </row>
    <row r="95" spans="1:2" x14ac:dyDescent="0.25">
      <c r="A95" s="6" t="s">
        <v>18</v>
      </c>
      <c r="B95">
        <v>332</v>
      </c>
    </row>
    <row r="96" spans="1:2" x14ac:dyDescent="0.25">
      <c r="A96" s="6" t="s">
        <v>83</v>
      </c>
      <c r="B96">
        <v>330</v>
      </c>
    </row>
    <row r="97" spans="1:2" x14ac:dyDescent="0.25">
      <c r="A97" s="6" t="s">
        <v>64</v>
      </c>
      <c r="B97">
        <v>325</v>
      </c>
    </row>
    <row r="98" spans="1:2" x14ac:dyDescent="0.25">
      <c r="A98" s="6" t="s">
        <v>51</v>
      </c>
      <c r="B98">
        <v>299</v>
      </c>
    </row>
    <row r="99" spans="1:2" x14ac:dyDescent="0.25">
      <c r="A99" s="6" t="s">
        <v>53</v>
      </c>
      <c r="B99">
        <v>299</v>
      </c>
    </row>
    <row r="100" spans="1:2" x14ac:dyDescent="0.25">
      <c r="A100" s="6" t="s">
        <v>85</v>
      </c>
      <c r="B100">
        <v>274</v>
      </c>
    </row>
    <row r="101" spans="1:2" x14ac:dyDescent="0.25">
      <c r="A101" s="6" t="s">
        <v>96</v>
      </c>
      <c r="B101">
        <v>248</v>
      </c>
    </row>
    <row r="102" spans="1:2" x14ac:dyDescent="0.25">
      <c r="A102" s="6" t="s">
        <v>43</v>
      </c>
      <c r="B102">
        <v>238</v>
      </c>
    </row>
    <row r="103" spans="1:2" x14ac:dyDescent="0.25">
      <c r="A103" s="6" t="s">
        <v>78</v>
      </c>
      <c r="B103">
        <v>230</v>
      </c>
    </row>
    <row r="104" spans="1:2" x14ac:dyDescent="0.25">
      <c r="A104" s="6" t="s">
        <v>108</v>
      </c>
      <c r="B104">
        <v>199</v>
      </c>
    </row>
    <row r="105" spans="1:2" x14ac:dyDescent="0.25">
      <c r="A105" s="6" t="s">
        <v>50</v>
      </c>
      <c r="B105">
        <v>199</v>
      </c>
    </row>
    <row r="106" spans="1:2" x14ac:dyDescent="0.25">
      <c r="A106" s="6" t="s">
        <v>103</v>
      </c>
      <c r="B106">
        <v>198</v>
      </c>
    </row>
    <row r="107" spans="1:2" x14ac:dyDescent="0.25">
      <c r="A107" s="6" t="s">
        <v>19</v>
      </c>
      <c r="B107">
        <v>195</v>
      </c>
    </row>
    <row r="108" spans="1:2" x14ac:dyDescent="0.25">
      <c r="A108" s="6" t="s">
        <v>32</v>
      </c>
      <c r="B108">
        <v>185</v>
      </c>
    </row>
    <row r="109" spans="1:2" x14ac:dyDescent="0.25">
      <c r="A109" s="6" t="s">
        <v>38</v>
      </c>
      <c r="B109">
        <v>171</v>
      </c>
    </row>
    <row r="110" spans="1:2" x14ac:dyDescent="0.25">
      <c r="A110" s="6" t="s">
        <v>110</v>
      </c>
      <c r="B110">
        <v>169</v>
      </c>
    </row>
    <row r="111" spans="1:2" x14ac:dyDescent="0.25">
      <c r="A111" s="6" t="s">
        <v>91</v>
      </c>
      <c r="B111">
        <v>105</v>
      </c>
    </row>
    <row r="112" spans="1:2" x14ac:dyDescent="0.25">
      <c r="A112" s="6" t="s">
        <v>23</v>
      </c>
      <c r="B112">
        <v>38</v>
      </c>
    </row>
    <row r="113" spans="1:2" x14ac:dyDescent="0.25">
      <c r="A113" s="6" t="s">
        <v>129</v>
      </c>
      <c r="B113">
        <v>3750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9A672-37E1-4FB3-87AC-456D62B8F285}">
  <dimension ref="A3:C7"/>
  <sheetViews>
    <sheetView workbookViewId="0">
      <selection activeCell="C9" sqref="C9"/>
    </sheetView>
  </sheetViews>
  <sheetFormatPr defaultRowHeight="15" x14ac:dyDescent="0.25"/>
  <cols>
    <col min="1" max="2" width="16.7109375" bestFit="1" customWidth="1"/>
    <col min="3" max="3" width="19.42578125" bestFit="1" customWidth="1"/>
  </cols>
  <sheetData>
    <row r="3" spans="1:3" x14ac:dyDescent="0.25">
      <c r="A3" s="5" t="s">
        <v>128</v>
      </c>
      <c r="B3" t="s">
        <v>130</v>
      </c>
      <c r="C3" t="s">
        <v>132</v>
      </c>
    </row>
    <row r="4" spans="1:3" x14ac:dyDescent="0.25">
      <c r="A4" s="6" t="s">
        <v>123</v>
      </c>
      <c r="B4">
        <v>1.7483870967741932</v>
      </c>
      <c r="C4" s="1">
        <v>0.48338709677419334</v>
      </c>
    </row>
    <row r="5" spans="1:3" x14ac:dyDescent="0.25">
      <c r="A5" s="6" t="s">
        <v>124</v>
      </c>
      <c r="B5">
        <v>0.82777777777777772</v>
      </c>
      <c r="C5" s="1">
        <v>7.2222222222222243E-2</v>
      </c>
    </row>
    <row r="6" spans="1:3" x14ac:dyDescent="0.25">
      <c r="A6" s="6" t="s">
        <v>122</v>
      </c>
      <c r="B6">
        <v>3.0750000000000006</v>
      </c>
      <c r="C6" s="1">
        <v>0.30999999999999994</v>
      </c>
    </row>
    <row r="7" spans="1:3" x14ac:dyDescent="0.25">
      <c r="A7" s="6" t="s">
        <v>129</v>
      </c>
      <c r="B7">
        <v>1.979464285714285</v>
      </c>
      <c r="C7" s="1">
        <v>0.3677678571428572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958A6-580A-470D-A9B0-13B9D5293714}">
  <dimension ref="A3:B7"/>
  <sheetViews>
    <sheetView workbookViewId="0">
      <selection activeCell="A3" sqref="A3"/>
    </sheetView>
  </sheetViews>
  <sheetFormatPr defaultRowHeight="15" x14ac:dyDescent="0.25"/>
  <cols>
    <col min="1" max="1" width="13.140625" bestFit="1" customWidth="1"/>
    <col min="2" max="2" width="16" bestFit="1" customWidth="1"/>
  </cols>
  <sheetData>
    <row r="3" spans="1:2" x14ac:dyDescent="0.25">
      <c r="A3" s="5" t="s">
        <v>128</v>
      </c>
      <c r="B3" t="s">
        <v>136</v>
      </c>
    </row>
    <row r="4" spans="1:2" x14ac:dyDescent="0.25">
      <c r="A4" s="6" t="s">
        <v>115</v>
      </c>
      <c r="B4">
        <v>22</v>
      </c>
    </row>
    <row r="5" spans="1:2" x14ac:dyDescent="0.25">
      <c r="A5" s="6" t="s">
        <v>121</v>
      </c>
      <c r="B5">
        <v>23</v>
      </c>
    </row>
    <row r="6" spans="1:2" x14ac:dyDescent="0.25">
      <c r="A6" s="6" t="s">
        <v>125</v>
      </c>
      <c r="B6">
        <v>67</v>
      </c>
    </row>
    <row r="7" spans="1:2" x14ac:dyDescent="0.25">
      <c r="A7" s="6" t="s">
        <v>129</v>
      </c>
      <c r="B7">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84FE3-5F04-4DFD-9726-5AF9C5339946}">
  <dimension ref="A3:B11"/>
  <sheetViews>
    <sheetView workbookViewId="0">
      <selection activeCell="B7" sqref="B7"/>
    </sheetView>
  </sheetViews>
  <sheetFormatPr defaultRowHeight="15" x14ac:dyDescent="0.25"/>
  <cols>
    <col min="1" max="1" width="13.140625" bestFit="1" customWidth="1"/>
    <col min="2" max="2" width="14.28515625" bestFit="1" customWidth="1"/>
  </cols>
  <sheetData>
    <row r="3" spans="1:2" x14ac:dyDescent="0.25">
      <c r="A3" s="5" t="s">
        <v>128</v>
      </c>
      <c r="B3" t="s">
        <v>137</v>
      </c>
    </row>
    <row r="4" spans="1:2" x14ac:dyDescent="0.25">
      <c r="A4" s="8" t="s">
        <v>138</v>
      </c>
      <c r="B4">
        <v>15</v>
      </c>
    </row>
    <row r="5" spans="1:2" x14ac:dyDescent="0.25">
      <c r="A5" s="8" t="s">
        <v>139</v>
      </c>
      <c r="B5">
        <v>35</v>
      </c>
    </row>
    <row r="6" spans="1:2" x14ac:dyDescent="0.25">
      <c r="A6" s="8" t="s">
        <v>140</v>
      </c>
      <c r="B6">
        <v>192</v>
      </c>
    </row>
    <row r="7" spans="1:2" x14ac:dyDescent="0.25">
      <c r="A7" s="8" t="s">
        <v>141</v>
      </c>
      <c r="B7">
        <v>147</v>
      </c>
    </row>
    <row r="8" spans="1:2" x14ac:dyDescent="0.25">
      <c r="A8" s="8" t="s">
        <v>142</v>
      </c>
      <c r="B8">
        <v>258</v>
      </c>
    </row>
    <row r="9" spans="1:2" x14ac:dyDescent="0.25">
      <c r="A9" s="8" t="s">
        <v>143</v>
      </c>
      <c r="B9">
        <v>76</v>
      </c>
    </row>
    <row r="10" spans="1:2" x14ac:dyDescent="0.25">
      <c r="A10" s="8" t="s">
        <v>144</v>
      </c>
      <c r="B10">
        <v>0</v>
      </c>
    </row>
    <row r="11" spans="1:2" x14ac:dyDescent="0.25">
      <c r="A11" s="8" t="s">
        <v>129</v>
      </c>
      <c r="B11">
        <v>723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F5414-9393-47C0-B4FC-0BE56A242016}">
  <dimension ref="A3:B8"/>
  <sheetViews>
    <sheetView topLeftCell="A2" workbookViewId="0">
      <selection activeCell="A7" sqref="A7"/>
    </sheetView>
  </sheetViews>
  <sheetFormatPr defaultRowHeight="15" x14ac:dyDescent="0.25"/>
  <cols>
    <col min="1" max="1" width="11.28515625" bestFit="1" customWidth="1"/>
    <col min="2" max="2" width="14.28515625" bestFit="1" customWidth="1"/>
  </cols>
  <sheetData>
    <row r="3" spans="1:2" x14ac:dyDescent="0.25">
      <c r="A3" s="5" t="s">
        <v>145</v>
      </c>
      <c r="B3" t="s">
        <v>137</v>
      </c>
    </row>
    <row r="4" spans="1:2" x14ac:dyDescent="0.25">
      <c r="A4" s="6" t="s">
        <v>146</v>
      </c>
      <c r="B4">
        <v>0</v>
      </c>
    </row>
    <row r="5" spans="1:2" x14ac:dyDescent="0.25">
      <c r="A5" s="6" t="s">
        <v>147</v>
      </c>
      <c r="B5">
        <v>169</v>
      </c>
    </row>
    <row r="6" spans="1:2" x14ac:dyDescent="0.25">
      <c r="A6" s="6" t="s">
        <v>148</v>
      </c>
      <c r="B6">
        <v>69</v>
      </c>
    </row>
    <row r="7" spans="1:2" x14ac:dyDescent="0.25">
      <c r="A7" s="6" t="s">
        <v>149</v>
      </c>
      <c r="B7">
        <v>485</v>
      </c>
    </row>
    <row r="8" spans="1:2" x14ac:dyDescent="0.25">
      <c r="A8" s="6" t="s">
        <v>129</v>
      </c>
      <c r="B8">
        <v>723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F840F-3EC8-49FA-91E1-FC6078858E57}">
  <dimension ref="A3:D4"/>
  <sheetViews>
    <sheetView workbookViewId="0">
      <selection activeCell="C4" sqref="C4"/>
    </sheetView>
  </sheetViews>
  <sheetFormatPr defaultRowHeight="15" x14ac:dyDescent="0.25"/>
  <cols>
    <col min="1" max="1" width="13.42578125" bestFit="1" customWidth="1"/>
    <col min="2" max="2" width="14.7109375" bestFit="1" customWidth="1"/>
    <col min="3" max="3" width="13.7109375" bestFit="1" customWidth="1"/>
    <col min="4" max="4" width="12.85546875" bestFit="1" customWidth="1"/>
  </cols>
  <sheetData>
    <row r="3" spans="1:4" x14ac:dyDescent="0.25">
      <c r="A3" t="s">
        <v>157</v>
      </c>
      <c r="B3" t="s">
        <v>156</v>
      </c>
      <c r="C3" t="s">
        <v>154</v>
      </c>
      <c r="D3" t="s">
        <v>155</v>
      </c>
    </row>
    <row r="4" spans="1:4" x14ac:dyDescent="0.25">
      <c r="A4">
        <v>723</v>
      </c>
      <c r="B4" s="9">
        <v>1.9794642857142855</v>
      </c>
      <c r="C4">
        <v>112</v>
      </c>
      <c r="D4" s="1">
        <v>0.36776785714285715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DB55A-D7BB-4EE9-858C-38501BA1295E}">
  <dimension ref="A1"/>
  <sheetViews>
    <sheetView tabSelected="1" zoomScale="95" zoomScaleNormal="95" workbookViewId="0">
      <selection activeCell="Q5" sqref="Q5"/>
    </sheetView>
  </sheetViews>
  <sheetFormatPr defaultRowHeight="15" x14ac:dyDescent="0.25"/>
  <cols>
    <col min="1" max="16384" width="9.14062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3FCF-B336-4F50-95DC-75AC43880532}">
  <dimension ref="A3:B14"/>
  <sheetViews>
    <sheetView topLeftCell="B1" workbookViewId="0">
      <selection activeCell="A5" sqref="A5"/>
    </sheetView>
  </sheetViews>
  <sheetFormatPr defaultRowHeight="15" x14ac:dyDescent="0.25"/>
  <cols>
    <col min="1" max="1" width="69.85546875" bestFit="1" customWidth="1"/>
    <col min="2" max="2" width="16.7109375" bestFit="1" customWidth="1"/>
  </cols>
  <sheetData>
    <row r="3" spans="1:2" x14ac:dyDescent="0.25">
      <c r="A3" s="5" t="s">
        <v>128</v>
      </c>
      <c r="B3" t="s">
        <v>130</v>
      </c>
    </row>
    <row r="4" spans="1:2" x14ac:dyDescent="0.25">
      <c r="A4" s="6" t="s">
        <v>38</v>
      </c>
      <c r="B4">
        <v>5</v>
      </c>
    </row>
    <row r="5" spans="1:2" x14ac:dyDescent="0.25">
      <c r="A5" s="6" t="s">
        <v>20</v>
      </c>
      <c r="B5">
        <v>5</v>
      </c>
    </row>
    <row r="6" spans="1:2" x14ac:dyDescent="0.25">
      <c r="A6" s="6" t="s">
        <v>100</v>
      </c>
      <c r="B6">
        <v>5</v>
      </c>
    </row>
    <row r="7" spans="1:2" x14ac:dyDescent="0.25">
      <c r="A7" s="6" t="s">
        <v>18</v>
      </c>
      <c r="B7">
        <v>5</v>
      </c>
    </row>
    <row r="8" spans="1:2" x14ac:dyDescent="0.25">
      <c r="A8" s="6" t="s">
        <v>19</v>
      </c>
      <c r="B8">
        <v>5</v>
      </c>
    </row>
    <row r="9" spans="1:2" x14ac:dyDescent="0.25">
      <c r="A9" s="6" t="s">
        <v>80</v>
      </c>
      <c r="B9">
        <v>5</v>
      </c>
    </row>
    <row r="10" spans="1:2" x14ac:dyDescent="0.25">
      <c r="A10" s="6" t="s">
        <v>37</v>
      </c>
      <c r="B10">
        <v>5</v>
      </c>
    </row>
    <row r="11" spans="1:2" x14ac:dyDescent="0.25">
      <c r="A11" s="6" t="s">
        <v>11</v>
      </c>
      <c r="B11">
        <v>4.8</v>
      </c>
    </row>
    <row r="12" spans="1:2" x14ac:dyDescent="0.25">
      <c r="A12" s="6" t="s">
        <v>7</v>
      </c>
      <c r="B12">
        <v>4.8</v>
      </c>
    </row>
    <row r="13" spans="1:2" x14ac:dyDescent="0.25">
      <c r="A13" s="6" t="s">
        <v>15</v>
      </c>
      <c r="B13">
        <v>4.8</v>
      </c>
    </row>
    <row r="14" spans="1:2" x14ac:dyDescent="0.25">
      <c r="A14" s="6" t="s">
        <v>129</v>
      </c>
      <c r="B14">
        <v>4.9399999999999995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7F03B-A669-4B38-A28C-80C9A5BB926A}">
  <dimension ref="A3:B14"/>
  <sheetViews>
    <sheetView topLeftCell="B1" workbookViewId="0">
      <selection activeCell="A5" sqref="A4:A13"/>
    </sheetView>
  </sheetViews>
  <sheetFormatPr defaultRowHeight="15" x14ac:dyDescent="0.25"/>
  <cols>
    <col min="1" max="1" width="66" bestFit="1" customWidth="1"/>
    <col min="2" max="2" width="14.28515625" bestFit="1" customWidth="1"/>
  </cols>
  <sheetData>
    <row r="3" spans="1:2" x14ac:dyDescent="0.25">
      <c r="A3" s="5" t="s">
        <v>128</v>
      </c>
      <c r="B3" t="s">
        <v>137</v>
      </c>
    </row>
    <row r="4" spans="1:2" x14ac:dyDescent="0.25">
      <c r="A4" s="6" t="s">
        <v>63</v>
      </c>
      <c r="B4">
        <v>69</v>
      </c>
    </row>
    <row r="5" spans="1:2" x14ac:dyDescent="0.25">
      <c r="A5" s="6" t="s">
        <v>9</v>
      </c>
      <c r="B5">
        <v>55</v>
      </c>
    </row>
    <row r="6" spans="1:2" x14ac:dyDescent="0.25">
      <c r="A6" s="6" t="s">
        <v>28</v>
      </c>
      <c r="B6">
        <v>49</v>
      </c>
    </row>
    <row r="7" spans="1:2" x14ac:dyDescent="0.25">
      <c r="A7" s="6" t="s">
        <v>22</v>
      </c>
      <c r="B7">
        <v>44</v>
      </c>
    </row>
    <row r="8" spans="1:2" x14ac:dyDescent="0.25">
      <c r="A8" s="6" t="s">
        <v>14</v>
      </c>
      <c r="B8">
        <v>39</v>
      </c>
    </row>
    <row r="9" spans="1:2" x14ac:dyDescent="0.25">
      <c r="A9" s="6" t="s">
        <v>39</v>
      </c>
      <c r="B9">
        <v>36</v>
      </c>
    </row>
    <row r="10" spans="1:2" x14ac:dyDescent="0.25">
      <c r="A10" s="6" t="s">
        <v>36</v>
      </c>
      <c r="B10">
        <v>32</v>
      </c>
    </row>
    <row r="11" spans="1:2" x14ac:dyDescent="0.25">
      <c r="A11" s="6" t="s">
        <v>5</v>
      </c>
      <c r="B11">
        <v>24</v>
      </c>
    </row>
    <row r="12" spans="1:2" x14ac:dyDescent="0.25">
      <c r="A12" s="6" t="s">
        <v>35</v>
      </c>
      <c r="B12">
        <v>20</v>
      </c>
    </row>
    <row r="13" spans="1:2" x14ac:dyDescent="0.25">
      <c r="A13" s="6" t="s">
        <v>31</v>
      </c>
      <c r="B13">
        <v>20</v>
      </c>
    </row>
    <row r="14" spans="1:2" x14ac:dyDescent="0.25">
      <c r="A14" s="6" t="s">
        <v>129</v>
      </c>
      <c r="B14">
        <v>388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58052-B31B-4C2E-B37D-96B0D7602F31}">
  <dimension ref="A3:B14"/>
  <sheetViews>
    <sheetView topLeftCell="C1" workbookViewId="0">
      <selection activeCell="A5" sqref="A5"/>
    </sheetView>
  </sheetViews>
  <sheetFormatPr defaultRowHeight="15" x14ac:dyDescent="0.25"/>
  <cols>
    <col min="1" max="1" width="74" bestFit="1" customWidth="1"/>
    <col min="2" max="2" width="19.42578125" bestFit="1" customWidth="1"/>
  </cols>
  <sheetData>
    <row r="3" spans="1:2" x14ac:dyDescent="0.25">
      <c r="A3" s="5" t="s">
        <v>128</v>
      </c>
      <c r="B3" t="s">
        <v>132</v>
      </c>
    </row>
    <row r="4" spans="1:2" x14ac:dyDescent="0.25">
      <c r="A4" s="6" t="s">
        <v>23</v>
      </c>
      <c r="B4" s="1">
        <v>0.53</v>
      </c>
    </row>
    <row r="5" spans="1:2" x14ac:dyDescent="0.25">
      <c r="A5" s="6" t="s">
        <v>62</v>
      </c>
      <c r="B5" s="1">
        <v>0.55000000000000004</v>
      </c>
    </row>
    <row r="6" spans="1:2" x14ac:dyDescent="0.25">
      <c r="A6" s="6" t="s">
        <v>108</v>
      </c>
      <c r="B6" s="1">
        <v>0.64</v>
      </c>
    </row>
    <row r="7" spans="1:2" x14ac:dyDescent="0.25">
      <c r="A7" s="6" t="s">
        <v>38</v>
      </c>
      <c r="B7" s="1">
        <v>0.53</v>
      </c>
    </row>
    <row r="8" spans="1:2" x14ac:dyDescent="0.25">
      <c r="A8" s="6" t="s">
        <v>50</v>
      </c>
      <c r="B8" s="1">
        <v>0.55000000000000004</v>
      </c>
    </row>
    <row r="9" spans="1:2" x14ac:dyDescent="0.25">
      <c r="A9" s="6" t="s">
        <v>32</v>
      </c>
      <c r="B9" s="1">
        <v>0.52</v>
      </c>
    </row>
    <row r="10" spans="1:2" x14ac:dyDescent="0.25">
      <c r="A10" s="6" t="s">
        <v>64</v>
      </c>
      <c r="B10" s="1">
        <v>0.52</v>
      </c>
    </row>
    <row r="11" spans="1:2" x14ac:dyDescent="0.25">
      <c r="A11" s="6" t="s">
        <v>27</v>
      </c>
      <c r="B11" s="1">
        <v>0.54</v>
      </c>
    </row>
    <row r="12" spans="1:2" x14ac:dyDescent="0.25">
      <c r="A12" s="6" t="s">
        <v>11</v>
      </c>
      <c r="B12" s="1">
        <v>0.55000000000000004</v>
      </c>
    </row>
    <row r="13" spans="1:2" x14ac:dyDescent="0.25">
      <c r="A13" s="6" t="s">
        <v>61</v>
      </c>
      <c r="B13" s="1">
        <v>0.54</v>
      </c>
    </row>
    <row r="14" spans="1:2" x14ac:dyDescent="0.25">
      <c r="A14" s="6" t="s">
        <v>129</v>
      </c>
      <c r="B14" s="1">
        <v>0.54727272727272724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96986-1423-4164-85F1-AF4323E41877}">
  <dimension ref="A3:B7"/>
  <sheetViews>
    <sheetView workbookViewId="0">
      <selection activeCell="A3" sqref="A3"/>
    </sheetView>
  </sheetViews>
  <sheetFormatPr defaultRowHeight="15" x14ac:dyDescent="0.25"/>
  <cols>
    <col min="1" max="1" width="13.140625" bestFit="1" customWidth="1"/>
    <col min="2" max="2" width="16" bestFit="1" customWidth="1"/>
  </cols>
  <sheetData>
    <row r="3" spans="1:2" x14ac:dyDescent="0.25">
      <c r="A3" s="5" t="s">
        <v>128</v>
      </c>
      <c r="B3" t="s">
        <v>136</v>
      </c>
    </row>
    <row r="4" spans="1:2" x14ac:dyDescent="0.25">
      <c r="A4" s="6" t="s">
        <v>115</v>
      </c>
      <c r="B4">
        <v>22</v>
      </c>
    </row>
    <row r="5" spans="1:2" x14ac:dyDescent="0.25">
      <c r="A5" s="6" t="s">
        <v>121</v>
      </c>
      <c r="B5">
        <v>23</v>
      </c>
    </row>
    <row r="6" spans="1:2" x14ac:dyDescent="0.25">
      <c r="A6" s="6" t="s">
        <v>125</v>
      </c>
      <c r="B6">
        <v>67</v>
      </c>
    </row>
    <row r="7" spans="1:2" x14ac:dyDescent="0.25">
      <c r="A7" s="6" t="s">
        <v>129</v>
      </c>
      <c r="B7">
        <v>112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D6CD5-0D46-498A-8C29-65563B0D8D57}">
  <dimension ref="A3:B7"/>
  <sheetViews>
    <sheetView workbookViewId="0">
      <selection activeCell="A3" sqref="A3"/>
    </sheetView>
  </sheetViews>
  <sheetFormatPr defaultRowHeight="15" x14ac:dyDescent="0.25"/>
  <cols>
    <col min="1" max="1" width="13.140625" bestFit="1" customWidth="1"/>
    <col min="2" max="2" width="16" bestFit="1" customWidth="1"/>
  </cols>
  <sheetData>
    <row r="3" spans="1:2" x14ac:dyDescent="0.25">
      <c r="A3" s="5" t="s">
        <v>128</v>
      </c>
      <c r="B3" t="s">
        <v>136</v>
      </c>
    </row>
    <row r="4" spans="1:2" x14ac:dyDescent="0.25">
      <c r="A4" s="6" t="s">
        <v>115</v>
      </c>
      <c r="B4">
        <v>22</v>
      </c>
    </row>
    <row r="5" spans="1:2" x14ac:dyDescent="0.25">
      <c r="A5" s="6" t="s">
        <v>121</v>
      </c>
      <c r="B5">
        <v>23</v>
      </c>
    </row>
    <row r="6" spans="1:2" x14ac:dyDescent="0.25">
      <c r="A6" s="6" t="s">
        <v>125</v>
      </c>
      <c r="B6">
        <v>67</v>
      </c>
    </row>
    <row r="7" spans="1:2" x14ac:dyDescent="0.25">
      <c r="A7" s="6" t="s">
        <v>129</v>
      </c>
      <c r="B7">
        <v>112</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89F20-902B-4660-AB02-AF576C59E36C}">
  <dimension ref="A1:L113"/>
  <sheetViews>
    <sheetView workbookViewId="0">
      <pane ySplit="1" topLeftCell="A2" activePane="bottomLeft" state="frozen"/>
      <selection pane="bottomLeft" activeCell="E4" sqref="E4"/>
    </sheetView>
  </sheetViews>
  <sheetFormatPr defaultRowHeight="15" x14ac:dyDescent="0.25"/>
  <cols>
    <col min="1" max="1" width="95.7109375" bestFit="1" customWidth="1"/>
    <col min="2" max="3" width="19.42578125" bestFit="1" customWidth="1"/>
    <col min="4" max="4" width="8.7109375" bestFit="1" customWidth="1"/>
    <col min="5" max="5" width="7.5703125" bestFit="1" customWidth="1"/>
    <col min="6" max="6" width="10.7109375" bestFit="1" customWidth="1"/>
    <col min="7" max="8" width="19.42578125" bestFit="1" customWidth="1"/>
    <col min="9" max="9" width="13.7109375" style="4" bestFit="1" customWidth="1"/>
    <col min="11" max="11" width="19" bestFit="1" customWidth="1"/>
  </cols>
  <sheetData>
    <row r="1" spans="1:12" s="2" customFormat="1" x14ac:dyDescent="0.25">
      <c r="A1" s="2" t="s">
        <v>0</v>
      </c>
      <c r="B1" s="2" t="s">
        <v>1</v>
      </c>
      <c r="C1" s="2" t="s">
        <v>126</v>
      </c>
      <c r="D1" s="2" t="s">
        <v>127</v>
      </c>
      <c r="E1" s="2" t="s">
        <v>2</v>
      </c>
      <c r="F1" s="2" t="s">
        <v>118</v>
      </c>
      <c r="G1" s="2" t="s">
        <v>112</v>
      </c>
      <c r="H1" s="2" t="s">
        <v>113</v>
      </c>
      <c r="I1" s="2" t="s">
        <v>114</v>
      </c>
    </row>
    <row r="2" spans="1:12" x14ac:dyDescent="0.25">
      <c r="A2" t="s">
        <v>22</v>
      </c>
      <c r="B2" s="3">
        <v>2025</v>
      </c>
      <c r="C2" s="3">
        <v>3971</v>
      </c>
      <c r="D2" s="1">
        <v>0.49</v>
      </c>
      <c r="E2">
        <v>3</v>
      </c>
      <c r="F2">
        <v>5</v>
      </c>
      <c r="G2">
        <v>1946</v>
      </c>
      <c r="H2" t="s">
        <v>121</v>
      </c>
      <c r="I2" s="4" t="s">
        <v>123</v>
      </c>
      <c r="K2" s="2" t="s">
        <v>115</v>
      </c>
    </row>
    <row r="3" spans="1:12" x14ac:dyDescent="0.25">
      <c r="A3" t="s">
        <v>11</v>
      </c>
      <c r="B3">
        <v>171</v>
      </c>
      <c r="C3">
        <v>360</v>
      </c>
      <c r="D3" s="1">
        <v>0.53</v>
      </c>
      <c r="E3">
        <v>2</v>
      </c>
      <c r="F3">
        <v>5</v>
      </c>
      <c r="G3">
        <v>189</v>
      </c>
      <c r="H3" t="s">
        <v>121</v>
      </c>
      <c r="I3" s="4" t="s">
        <v>123</v>
      </c>
      <c r="K3" t="s">
        <v>1</v>
      </c>
      <c r="L3">
        <f>AVERAGE(G:G)</f>
        <v>624.21428571428567</v>
      </c>
    </row>
    <row r="4" spans="1:12" x14ac:dyDescent="0.25">
      <c r="A4" t="s">
        <v>14</v>
      </c>
      <c r="B4">
        <v>332</v>
      </c>
      <c r="C4">
        <v>684</v>
      </c>
      <c r="D4" s="1">
        <v>0.51</v>
      </c>
      <c r="E4">
        <v>2</v>
      </c>
      <c r="F4">
        <v>5</v>
      </c>
      <c r="G4">
        <v>352</v>
      </c>
      <c r="H4" t="s">
        <v>121</v>
      </c>
      <c r="I4" s="4" t="s">
        <v>123</v>
      </c>
      <c r="K4" t="s">
        <v>116</v>
      </c>
      <c r="L4">
        <f>AVERAGE(C:C)</f>
        <v>1811.1071428571429</v>
      </c>
    </row>
    <row r="5" spans="1:12" x14ac:dyDescent="0.25">
      <c r="A5" t="s">
        <v>46</v>
      </c>
      <c r="B5">
        <v>195</v>
      </c>
      <c r="C5">
        <v>360</v>
      </c>
      <c r="D5" s="1">
        <v>0.46</v>
      </c>
      <c r="E5">
        <v>2</v>
      </c>
      <c r="F5">
        <v>5</v>
      </c>
      <c r="G5">
        <v>165</v>
      </c>
      <c r="H5" t="s">
        <v>121</v>
      </c>
      <c r="I5" s="4" t="s">
        <v>123</v>
      </c>
      <c r="K5" t="s">
        <v>117</v>
      </c>
      <c r="L5">
        <f>AVERAGE(D:D)</f>
        <v>0.3677678571428572</v>
      </c>
    </row>
    <row r="6" spans="1:12" x14ac:dyDescent="0.25">
      <c r="A6" t="s">
        <v>29</v>
      </c>
      <c r="B6">
        <v>979</v>
      </c>
      <c r="C6" s="3">
        <v>1920</v>
      </c>
      <c r="D6" s="1">
        <v>0.49</v>
      </c>
      <c r="E6">
        <v>1</v>
      </c>
      <c r="F6">
        <v>5</v>
      </c>
      <c r="G6">
        <v>941</v>
      </c>
      <c r="H6" t="s">
        <v>121</v>
      </c>
      <c r="I6" s="4" t="s">
        <v>123</v>
      </c>
      <c r="K6" t="s">
        <v>118</v>
      </c>
      <c r="L6">
        <f>AVERAGE(F:F)</f>
        <v>1.9794642857142857</v>
      </c>
    </row>
    <row r="7" spans="1:12" x14ac:dyDescent="0.25">
      <c r="A7" t="s">
        <v>63</v>
      </c>
      <c r="B7" s="3">
        <v>1620</v>
      </c>
      <c r="C7" s="3">
        <v>2690</v>
      </c>
      <c r="D7" s="1">
        <v>0.4</v>
      </c>
      <c r="E7">
        <v>1</v>
      </c>
      <c r="F7">
        <v>5</v>
      </c>
      <c r="G7">
        <v>1070</v>
      </c>
      <c r="H7" t="s">
        <v>121</v>
      </c>
      <c r="I7" s="4" t="s">
        <v>122</v>
      </c>
    </row>
    <row r="8" spans="1:12" x14ac:dyDescent="0.25">
      <c r="A8" t="s">
        <v>91</v>
      </c>
      <c r="B8" s="3">
        <v>3640</v>
      </c>
      <c r="C8" s="3">
        <v>4588</v>
      </c>
      <c r="D8" s="1">
        <v>0.21</v>
      </c>
      <c r="E8">
        <v>1</v>
      </c>
      <c r="F8">
        <v>5</v>
      </c>
      <c r="G8">
        <v>948</v>
      </c>
      <c r="H8" t="s">
        <v>121</v>
      </c>
      <c r="I8" s="4" t="s">
        <v>122</v>
      </c>
      <c r="K8" t="s">
        <v>119</v>
      </c>
      <c r="L8">
        <f>MAX(B:B)</f>
        <v>3750</v>
      </c>
    </row>
    <row r="9" spans="1:12" x14ac:dyDescent="0.25">
      <c r="A9" t="s">
        <v>40</v>
      </c>
      <c r="B9">
        <v>552</v>
      </c>
      <c r="C9" s="3">
        <v>1035</v>
      </c>
      <c r="D9" s="1">
        <v>0.47</v>
      </c>
      <c r="E9">
        <v>12</v>
      </c>
      <c r="F9">
        <v>4.8</v>
      </c>
      <c r="G9">
        <v>483</v>
      </c>
      <c r="H9" t="s">
        <v>121</v>
      </c>
      <c r="I9" s="4" t="s">
        <v>123</v>
      </c>
      <c r="K9" t="s">
        <v>120</v>
      </c>
      <c r="L9">
        <f>MIN(B:B)</f>
        <v>38</v>
      </c>
    </row>
    <row r="10" spans="1:12" x14ac:dyDescent="0.25">
      <c r="A10" t="s">
        <v>5</v>
      </c>
      <c r="B10" s="3">
        <v>1274</v>
      </c>
      <c r="C10" s="3">
        <v>2800</v>
      </c>
      <c r="D10" s="1">
        <v>0.55000000000000004</v>
      </c>
      <c r="E10">
        <v>5</v>
      </c>
      <c r="F10">
        <v>4.8</v>
      </c>
      <c r="G10">
        <v>1526</v>
      </c>
      <c r="H10" t="s">
        <v>121</v>
      </c>
      <c r="I10" s="4" t="s">
        <v>123</v>
      </c>
    </row>
    <row r="11" spans="1:12" x14ac:dyDescent="0.25">
      <c r="A11" t="s">
        <v>85</v>
      </c>
      <c r="B11" s="3">
        <v>1740</v>
      </c>
      <c r="C11" s="3">
        <v>2356</v>
      </c>
      <c r="D11" s="1">
        <v>0.26</v>
      </c>
      <c r="E11">
        <v>5</v>
      </c>
      <c r="F11">
        <v>4.8</v>
      </c>
      <c r="G11">
        <v>616</v>
      </c>
      <c r="H11" t="s">
        <v>121</v>
      </c>
      <c r="I11" s="4" t="s">
        <v>122</v>
      </c>
      <c r="L11">
        <f>AVERAGEIF(I:I, "Low Discount",E:E)</f>
        <v>2.1111111111111112</v>
      </c>
    </row>
    <row r="12" spans="1:12" x14ac:dyDescent="0.25">
      <c r="A12" t="s">
        <v>74</v>
      </c>
      <c r="B12">
        <v>990</v>
      </c>
      <c r="C12" s="3">
        <v>1500</v>
      </c>
      <c r="D12" s="1">
        <v>0.34</v>
      </c>
      <c r="E12">
        <v>39</v>
      </c>
      <c r="F12">
        <v>4.7</v>
      </c>
      <c r="G12">
        <v>510</v>
      </c>
      <c r="H12" t="s">
        <v>121</v>
      </c>
      <c r="I12" s="4" t="s">
        <v>122</v>
      </c>
    </row>
    <row r="13" spans="1:12" x14ac:dyDescent="0.25">
      <c r="A13" t="s">
        <v>83</v>
      </c>
      <c r="B13" s="3">
        <v>1940</v>
      </c>
      <c r="C13" s="3">
        <v>2650</v>
      </c>
      <c r="D13" s="1">
        <v>0.27</v>
      </c>
      <c r="E13">
        <v>20</v>
      </c>
      <c r="F13">
        <v>4.7</v>
      </c>
      <c r="G13">
        <v>710</v>
      </c>
      <c r="H13" t="s">
        <v>121</v>
      </c>
      <c r="I13" s="4" t="s">
        <v>122</v>
      </c>
    </row>
    <row r="14" spans="1:12" x14ac:dyDescent="0.25">
      <c r="A14" t="s">
        <v>75</v>
      </c>
      <c r="B14">
        <v>980</v>
      </c>
      <c r="C14" s="3">
        <v>1490</v>
      </c>
      <c r="D14" s="1">
        <v>0.34</v>
      </c>
      <c r="E14">
        <v>12</v>
      </c>
      <c r="F14">
        <v>4.7</v>
      </c>
      <c r="G14">
        <v>510</v>
      </c>
      <c r="H14" t="s">
        <v>121</v>
      </c>
      <c r="I14" s="4" t="s">
        <v>122</v>
      </c>
    </row>
    <row r="15" spans="1:12" x14ac:dyDescent="0.25">
      <c r="A15" t="s">
        <v>69</v>
      </c>
      <c r="B15" s="3">
        <v>1580</v>
      </c>
      <c r="C15" s="3">
        <v>2499</v>
      </c>
      <c r="D15" s="1">
        <v>0.37</v>
      </c>
      <c r="E15">
        <v>7</v>
      </c>
      <c r="F15">
        <v>4.7</v>
      </c>
      <c r="G15">
        <v>919</v>
      </c>
      <c r="H15" t="s">
        <v>121</v>
      </c>
      <c r="I15" s="4" t="s">
        <v>122</v>
      </c>
    </row>
    <row r="16" spans="1:12" x14ac:dyDescent="0.25">
      <c r="A16" t="s">
        <v>58</v>
      </c>
      <c r="B16" s="3">
        <v>2319</v>
      </c>
      <c r="C16" s="3">
        <v>3032</v>
      </c>
      <c r="D16" s="1">
        <v>0.24</v>
      </c>
      <c r="E16">
        <v>55</v>
      </c>
      <c r="F16">
        <v>4.5999999999999996</v>
      </c>
      <c r="G16">
        <v>713</v>
      </c>
      <c r="H16" t="s">
        <v>121</v>
      </c>
      <c r="I16" s="4" t="s">
        <v>122</v>
      </c>
    </row>
    <row r="17" spans="1:9" x14ac:dyDescent="0.25">
      <c r="A17" t="s">
        <v>73</v>
      </c>
      <c r="B17">
        <v>420</v>
      </c>
      <c r="C17">
        <v>647</v>
      </c>
      <c r="D17" s="1">
        <v>0.35</v>
      </c>
      <c r="E17">
        <v>49</v>
      </c>
      <c r="F17">
        <v>4.5999999999999996</v>
      </c>
      <c r="G17">
        <v>227</v>
      </c>
      <c r="H17" t="s">
        <v>121</v>
      </c>
      <c r="I17" s="4" t="s">
        <v>122</v>
      </c>
    </row>
    <row r="18" spans="1:9" x14ac:dyDescent="0.25">
      <c r="A18" t="s">
        <v>23</v>
      </c>
      <c r="B18">
        <v>998</v>
      </c>
      <c r="C18" s="3">
        <v>1966</v>
      </c>
      <c r="D18" s="1">
        <v>0.49</v>
      </c>
      <c r="E18">
        <v>44</v>
      </c>
      <c r="F18">
        <v>4.5999999999999996</v>
      </c>
      <c r="G18">
        <v>968</v>
      </c>
      <c r="H18" t="s">
        <v>121</v>
      </c>
      <c r="I18" s="4" t="s">
        <v>123</v>
      </c>
    </row>
    <row r="19" spans="1:9" x14ac:dyDescent="0.25">
      <c r="A19" t="s">
        <v>86</v>
      </c>
      <c r="B19" s="3">
        <v>2199</v>
      </c>
      <c r="C19" s="3">
        <v>2923</v>
      </c>
      <c r="D19" s="1">
        <v>0.25</v>
      </c>
      <c r="E19">
        <v>24</v>
      </c>
      <c r="F19">
        <v>4.5999999999999996</v>
      </c>
      <c r="G19">
        <v>724</v>
      </c>
      <c r="H19" t="s">
        <v>121</v>
      </c>
      <c r="I19" s="4" t="s">
        <v>122</v>
      </c>
    </row>
    <row r="20" spans="1:9" x14ac:dyDescent="0.25">
      <c r="A20" t="s">
        <v>93</v>
      </c>
      <c r="B20" s="3">
        <v>2999</v>
      </c>
      <c r="C20" s="3">
        <v>3699</v>
      </c>
      <c r="D20" s="1">
        <v>0.19</v>
      </c>
      <c r="E20">
        <v>5</v>
      </c>
      <c r="F20">
        <v>4.5999999999999996</v>
      </c>
      <c r="G20">
        <v>700</v>
      </c>
      <c r="H20" t="s">
        <v>121</v>
      </c>
      <c r="I20" s="4" t="s">
        <v>124</v>
      </c>
    </row>
    <row r="21" spans="1:9" x14ac:dyDescent="0.25">
      <c r="A21" t="s">
        <v>50</v>
      </c>
      <c r="B21" s="3">
        <v>1980</v>
      </c>
      <c r="C21" s="3">
        <v>2699</v>
      </c>
      <c r="D21" s="1">
        <v>0.27</v>
      </c>
      <c r="E21">
        <v>32</v>
      </c>
      <c r="F21">
        <v>4.5</v>
      </c>
      <c r="G21">
        <v>719</v>
      </c>
      <c r="H21" t="s">
        <v>121</v>
      </c>
      <c r="I21" s="4" t="s">
        <v>122</v>
      </c>
    </row>
    <row r="22" spans="1:9" x14ac:dyDescent="0.25">
      <c r="A22" t="s">
        <v>57</v>
      </c>
      <c r="B22">
        <v>501</v>
      </c>
      <c r="C22">
        <v>860</v>
      </c>
      <c r="D22" s="1">
        <v>0.42</v>
      </c>
      <c r="E22">
        <v>6</v>
      </c>
      <c r="F22">
        <v>4.5</v>
      </c>
      <c r="G22">
        <v>359</v>
      </c>
      <c r="H22" t="s">
        <v>121</v>
      </c>
      <c r="I22" s="4" t="s">
        <v>123</v>
      </c>
    </row>
    <row r="23" spans="1:9" x14ac:dyDescent="0.25">
      <c r="A23" t="s">
        <v>66</v>
      </c>
      <c r="B23">
        <v>1800</v>
      </c>
      <c r="C23">
        <v>2700</v>
      </c>
      <c r="D23" s="1">
        <v>0.38</v>
      </c>
      <c r="E23">
        <v>2</v>
      </c>
      <c r="F23">
        <v>4.5</v>
      </c>
      <c r="G23">
        <v>900</v>
      </c>
      <c r="H23" t="s">
        <v>121</v>
      </c>
      <c r="I23" s="4" t="s">
        <v>122</v>
      </c>
    </row>
    <row r="24" spans="1:9" x14ac:dyDescent="0.25">
      <c r="A24" t="s">
        <v>65</v>
      </c>
      <c r="B24">
        <v>950</v>
      </c>
      <c r="C24" s="3">
        <v>1525</v>
      </c>
      <c r="D24" s="1">
        <v>0.38</v>
      </c>
      <c r="E24">
        <v>2</v>
      </c>
      <c r="F24">
        <v>4.5</v>
      </c>
      <c r="G24">
        <v>575</v>
      </c>
      <c r="H24" t="s">
        <v>121</v>
      </c>
      <c r="I24" s="4" t="s">
        <v>122</v>
      </c>
    </row>
    <row r="25" spans="1:9" x14ac:dyDescent="0.25">
      <c r="A25" t="s">
        <v>88</v>
      </c>
      <c r="B25" s="3">
        <v>1650</v>
      </c>
      <c r="C25" s="3">
        <v>2150</v>
      </c>
      <c r="D25" s="1">
        <v>0.23</v>
      </c>
      <c r="E25">
        <v>14</v>
      </c>
      <c r="F25">
        <v>4.4000000000000004</v>
      </c>
      <c r="G25">
        <v>500</v>
      </c>
      <c r="H25" t="s">
        <v>115</v>
      </c>
      <c r="I25" s="4" t="s">
        <v>122</v>
      </c>
    </row>
    <row r="26" spans="1:9" x14ac:dyDescent="0.25">
      <c r="A26" t="s">
        <v>60</v>
      </c>
      <c r="B26">
        <v>389</v>
      </c>
      <c r="C26">
        <v>656</v>
      </c>
      <c r="D26" s="1">
        <v>0.41</v>
      </c>
      <c r="E26">
        <v>36</v>
      </c>
      <c r="F26">
        <v>4.3</v>
      </c>
      <c r="G26">
        <v>267</v>
      </c>
      <c r="H26" t="s">
        <v>115</v>
      </c>
      <c r="I26" s="4" t="s">
        <v>123</v>
      </c>
    </row>
    <row r="27" spans="1:9" x14ac:dyDescent="0.25">
      <c r="A27" t="s">
        <v>12</v>
      </c>
      <c r="B27">
        <v>185</v>
      </c>
      <c r="C27">
        <v>382</v>
      </c>
      <c r="D27" s="1">
        <v>0.52</v>
      </c>
      <c r="E27">
        <v>9</v>
      </c>
      <c r="F27">
        <v>4.3</v>
      </c>
      <c r="G27">
        <v>197</v>
      </c>
      <c r="H27" t="s">
        <v>115</v>
      </c>
      <c r="I27" s="4" t="s">
        <v>123</v>
      </c>
    </row>
    <row r="28" spans="1:9" x14ac:dyDescent="0.25">
      <c r="A28" t="s">
        <v>35</v>
      </c>
      <c r="B28" s="3">
        <v>1820</v>
      </c>
      <c r="C28" s="3">
        <v>3490</v>
      </c>
      <c r="D28" s="1">
        <v>0.48</v>
      </c>
      <c r="E28">
        <v>9</v>
      </c>
      <c r="F28">
        <v>4.3</v>
      </c>
      <c r="G28">
        <v>1670</v>
      </c>
      <c r="H28" t="s">
        <v>115</v>
      </c>
      <c r="I28" s="4" t="s">
        <v>123</v>
      </c>
    </row>
    <row r="29" spans="1:9" x14ac:dyDescent="0.25">
      <c r="A29" t="s">
        <v>8</v>
      </c>
      <c r="B29" s="3">
        <v>2048</v>
      </c>
      <c r="C29" s="3">
        <v>4500</v>
      </c>
      <c r="D29" s="1">
        <v>0.54</v>
      </c>
      <c r="E29">
        <v>7</v>
      </c>
      <c r="F29">
        <v>4.3</v>
      </c>
      <c r="G29">
        <v>2452</v>
      </c>
      <c r="H29" t="s">
        <v>115</v>
      </c>
      <c r="I29" s="4" t="s">
        <v>123</v>
      </c>
    </row>
    <row r="30" spans="1:9" x14ac:dyDescent="0.25">
      <c r="A30" t="s">
        <v>78</v>
      </c>
      <c r="B30" s="3">
        <v>1680</v>
      </c>
      <c r="C30" s="3">
        <v>2499</v>
      </c>
      <c r="D30" s="1">
        <v>0.33</v>
      </c>
      <c r="E30">
        <v>9</v>
      </c>
      <c r="F30">
        <v>4.2</v>
      </c>
      <c r="G30">
        <v>819</v>
      </c>
      <c r="H30" t="s">
        <v>115</v>
      </c>
      <c r="I30" s="4" t="s">
        <v>122</v>
      </c>
    </row>
    <row r="31" spans="1:9" x14ac:dyDescent="0.25">
      <c r="A31" t="s">
        <v>81</v>
      </c>
      <c r="B31" s="3">
        <v>1758</v>
      </c>
      <c r="C31" s="3">
        <v>2499</v>
      </c>
      <c r="D31" s="1">
        <v>0.3</v>
      </c>
      <c r="E31">
        <v>20</v>
      </c>
      <c r="F31">
        <v>4.0999999999999996</v>
      </c>
      <c r="G31">
        <v>741</v>
      </c>
      <c r="H31" t="s">
        <v>115</v>
      </c>
      <c r="I31" s="4" t="s">
        <v>122</v>
      </c>
    </row>
    <row r="32" spans="1:9" x14ac:dyDescent="0.25">
      <c r="A32" t="s">
        <v>39</v>
      </c>
      <c r="B32">
        <v>527</v>
      </c>
      <c r="C32">
        <v>999</v>
      </c>
      <c r="D32" s="1">
        <v>0.47</v>
      </c>
      <c r="E32">
        <v>14</v>
      </c>
      <c r="F32">
        <v>4.0999999999999996</v>
      </c>
      <c r="G32">
        <v>472</v>
      </c>
      <c r="H32" t="s">
        <v>115</v>
      </c>
      <c r="I32" s="4" t="s">
        <v>123</v>
      </c>
    </row>
    <row r="33" spans="1:9" x14ac:dyDescent="0.25">
      <c r="A33" t="s">
        <v>92</v>
      </c>
      <c r="B33">
        <v>799</v>
      </c>
      <c r="C33">
        <v>999</v>
      </c>
      <c r="D33" s="1">
        <v>0.2</v>
      </c>
      <c r="E33">
        <v>12</v>
      </c>
      <c r="F33">
        <v>4.0999999999999996</v>
      </c>
      <c r="G33">
        <v>200</v>
      </c>
      <c r="H33" t="s">
        <v>115</v>
      </c>
      <c r="I33" s="4" t="s">
        <v>122</v>
      </c>
    </row>
    <row r="34" spans="1:9" x14ac:dyDescent="0.25">
      <c r="A34" t="s">
        <v>99</v>
      </c>
      <c r="B34" s="3">
        <v>2999</v>
      </c>
      <c r="C34" s="3">
        <v>3290</v>
      </c>
      <c r="D34" s="1">
        <v>0.09</v>
      </c>
      <c r="E34">
        <v>15</v>
      </c>
      <c r="F34">
        <v>4</v>
      </c>
      <c r="G34">
        <v>291</v>
      </c>
      <c r="H34" t="s">
        <v>115</v>
      </c>
      <c r="I34" s="4" t="s">
        <v>124</v>
      </c>
    </row>
    <row r="35" spans="1:9" x14ac:dyDescent="0.25">
      <c r="A35" t="s">
        <v>72</v>
      </c>
      <c r="B35">
        <v>880</v>
      </c>
      <c r="C35" s="3">
        <v>1350</v>
      </c>
      <c r="D35" s="1">
        <v>0.35</v>
      </c>
      <c r="E35">
        <v>6</v>
      </c>
      <c r="F35">
        <v>4</v>
      </c>
      <c r="G35">
        <v>470</v>
      </c>
      <c r="H35" t="s">
        <v>115</v>
      </c>
      <c r="I35" s="4" t="s">
        <v>122</v>
      </c>
    </row>
    <row r="36" spans="1:9" x14ac:dyDescent="0.25">
      <c r="A36" t="s">
        <v>70</v>
      </c>
      <c r="B36">
        <v>988</v>
      </c>
      <c r="C36" s="3">
        <v>1580</v>
      </c>
      <c r="D36" s="1">
        <v>0.37</v>
      </c>
      <c r="E36">
        <v>2</v>
      </c>
      <c r="F36">
        <v>4</v>
      </c>
      <c r="G36">
        <v>592</v>
      </c>
      <c r="H36" t="s">
        <v>115</v>
      </c>
      <c r="I36" s="4" t="s">
        <v>122</v>
      </c>
    </row>
    <row r="37" spans="1:9" x14ac:dyDescent="0.25">
      <c r="A37" t="s">
        <v>30</v>
      </c>
      <c r="B37">
        <v>330</v>
      </c>
      <c r="C37">
        <v>647</v>
      </c>
      <c r="D37" s="1">
        <v>0.49</v>
      </c>
      <c r="E37">
        <v>1</v>
      </c>
      <c r="F37">
        <v>4</v>
      </c>
      <c r="G37">
        <v>317</v>
      </c>
      <c r="H37" t="s">
        <v>115</v>
      </c>
      <c r="I37" s="4" t="s">
        <v>123</v>
      </c>
    </row>
    <row r="38" spans="1:9" x14ac:dyDescent="0.25">
      <c r="A38" t="s">
        <v>80</v>
      </c>
      <c r="B38" s="3">
        <v>1350</v>
      </c>
      <c r="C38" s="3">
        <v>1990</v>
      </c>
      <c r="D38" s="1">
        <v>0.32</v>
      </c>
      <c r="E38">
        <v>13</v>
      </c>
      <c r="F38">
        <v>3.8</v>
      </c>
      <c r="G38">
        <v>640</v>
      </c>
      <c r="H38" t="s">
        <v>115</v>
      </c>
      <c r="I38" s="4" t="s">
        <v>122</v>
      </c>
    </row>
    <row r="39" spans="1:9" x14ac:dyDescent="0.25">
      <c r="A39" t="s">
        <v>94</v>
      </c>
      <c r="B39" s="3">
        <v>2880</v>
      </c>
      <c r="C39" s="3">
        <v>3520</v>
      </c>
      <c r="D39" s="1">
        <v>0.18</v>
      </c>
      <c r="E39">
        <v>12</v>
      </c>
      <c r="F39">
        <v>3.8</v>
      </c>
      <c r="G39">
        <v>640</v>
      </c>
      <c r="H39" t="s">
        <v>115</v>
      </c>
      <c r="I39" s="4" t="s">
        <v>124</v>
      </c>
    </row>
    <row r="40" spans="1:9" x14ac:dyDescent="0.25">
      <c r="A40" t="s">
        <v>49</v>
      </c>
      <c r="B40" s="3">
        <v>1600</v>
      </c>
      <c r="C40" s="3">
        <v>2929</v>
      </c>
      <c r="D40" s="1">
        <v>0.45</v>
      </c>
      <c r="E40">
        <v>5</v>
      </c>
      <c r="F40">
        <v>3.8</v>
      </c>
      <c r="G40">
        <v>1329</v>
      </c>
      <c r="H40" t="s">
        <v>115</v>
      </c>
      <c r="I40" s="4" t="s">
        <v>123</v>
      </c>
    </row>
    <row r="41" spans="1:9" x14ac:dyDescent="0.25">
      <c r="A41" t="s">
        <v>10</v>
      </c>
      <c r="B41">
        <v>38</v>
      </c>
      <c r="C41">
        <v>80</v>
      </c>
      <c r="D41" s="1">
        <v>0.53</v>
      </c>
      <c r="E41">
        <v>13</v>
      </c>
      <c r="F41">
        <v>3.3</v>
      </c>
      <c r="G41">
        <v>42</v>
      </c>
      <c r="H41" t="s">
        <v>115</v>
      </c>
      <c r="I41" s="4" t="s">
        <v>123</v>
      </c>
    </row>
    <row r="42" spans="1:9" x14ac:dyDescent="0.25">
      <c r="A42" t="s">
        <v>9</v>
      </c>
      <c r="B42">
        <v>458</v>
      </c>
      <c r="C42">
        <v>986</v>
      </c>
      <c r="D42" s="1">
        <v>0.54</v>
      </c>
      <c r="E42">
        <v>10</v>
      </c>
      <c r="F42">
        <v>3</v>
      </c>
      <c r="G42">
        <v>528</v>
      </c>
      <c r="H42" t="s">
        <v>115</v>
      </c>
      <c r="I42" s="4" t="s">
        <v>123</v>
      </c>
    </row>
    <row r="43" spans="1:9" x14ac:dyDescent="0.25">
      <c r="A43" t="s">
        <v>54</v>
      </c>
      <c r="B43">
        <v>509</v>
      </c>
      <c r="C43">
        <v>899</v>
      </c>
      <c r="D43" s="1">
        <v>0.43</v>
      </c>
      <c r="E43">
        <v>5</v>
      </c>
      <c r="F43">
        <v>3</v>
      </c>
      <c r="G43">
        <v>390</v>
      </c>
      <c r="H43" t="s">
        <v>115</v>
      </c>
      <c r="I43" s="4" t="s">
        <v>123</v>
      </c>
    </row>
    <row r="44" spans="1:9" x14ac:dyDescent="0.25">
      <c r="A44" t="s">
        <v>64</v>
      </c>
      <c r="B44" s="3">
        <v>3750</v>
      </c>
      <c r="C44" s="3">
        <v>6143</v>
      </c>
      <c r="D44" s="1">
        <v>0.39</v>
      </c>
      <c r="E44">
        <v>5</v>
      </c>
      <c r="F44">
        <v>3</v>
      </c>
      <c r="G44">
        <v>2393</v>
      </c>
      <c r="H44" t="s">
        <v>115</v>
      </c>
      <c r="I44" s="4" t="s">
        <v>122</v>
      </c>
    </row>
    <row r="45" spans="1:9" x14ac:dyDescent="0.25">
      <c r="A45" t="s">
        <v>82</v>
      </c>
      <c r="B45" s="3">
        <v>2300</v>
      </c>
      <c r="C45" s="3">
        <v>3240</v>
      </c>
      <c r="D45" s="1">
        <v>0.28999999999999998</v>
      </c>
      <c r="E45">
        <v>5</v>
      </c>
      <c r="F45">
        <v>3</v>
      </c>
      <c r="G45">
        <v>940</v>
      </c>
      <c r="H45" t="s">
        <v>115</v>
      </c>
      <c r="I45" s="4" t="s">
        <v>122</v>
      </c>
    </row>
    <row r="46" spans="1:9" x14ac:dyDescent="0.25">
      <c r="A46" t="s">
        <v>48</v>
      </c>
      <c r="B46" s="3">
        <v>1189</v>
      </c>
      <c r="C46" s="3">
        <v>2199</v>
      </c>
      <c r="D46" s="1">
        <v>0.46</v>
      </c>
      <c r="E46">
        <v>1</v>
      </c>
      <c r="F46">
        <v>3</v>
      </c>
      <c r="G46">
        <v>1010</v>
      </c>
      <c r="H46" t="s">
        <v>115</v>
      </c>
      <c r="I46" s="4" t="s">
        <v>123</v>
      </c>
    </row>
    <row r="47" spans="1:9" x14ac:dyDescent="0.25">
      <c r="A47" t="s">
        <v>90</v>
      </c>
      <c r="B47" s="3">
        <v>1220</v>
      </c>
      <c r="C47" s="3">
        <v>1555</v>
      </c>
      <c r="D47" s="1">
        <v>0.22</v>
      </c>
      <c r="E47">
        <v>16</v>
      </c>
      <c r="F47">
        <v>2.9</v>
      </c>
      <c r="G47">
        <v>335</v>
      </c>
      <c r="H47" t="s">
        <v>125</v>
      </c>
      <c r="I47" s="4" t="s">
        <v>122</v>
      </c>
    </row>
    <row r="48" spans="1:9" x14ac:dyDescent="0.25">
      <c r="A48" t="s">
        <v>27</v>
      </c>
      <c r="B48">
        <v>445</v>
      </c>
      <c r="C48">
        <v>873</v>
      </c>
      <c r="D48" s="1">
        <v>0.49</v>
      </c>
      <c r="E48">
        <v>69</v>
      </c>
      <c r="F48">
        <v>2.8</v>
      </c>
      <c r="G48">
        <v>428</v>
      </c>
      <c r="H48" t="s">
        <v>125</v>
      </c>
      <c r="I48" s="4" t="s">
        <v>123</v>
      </c>
    </row>
    <row r="49" spans="1:9" x14ac:dyDescent="0.25">
      <c r="A49" t="s">
        <v>13</v>
      </c>
      <c r="B49">
        <v>325</v>
      </c>
      <c r="C49">
        <v>680</v>
      </c>
      <c r="D49" s="1">
        <v>0.52</v>
      </c>
      <c r="E49">
        <v>15</v>
      </c>
      <c r="F49">
        <v>2.7</v>
      </c>
      <c r="G49">
        <v>355</v>
      </c>
      <c r="H49" t="s">
        <v>125</v>
      </c>
      <c r="I49" s="4" t="s">
        <v>123</v>
      </c>
    </row>
    <row r="50" spans="1:9" x14ac:dyDescent="0.25">
      <c r="A50" t="s">
        <v>52</v>
      </c>
      <c r="B50">
        <v>382</v>
      </c>
      <c r="C50">
        <v>700</v>
      </c>
      <c r="D50" s="1">
        <v>0.45</v>
      </c>
      <c r="E50">
        <v>17</v>
      </c>
      <c r="F50">
        <v>2.6</v>
      </c>
      <c r="G50">
        <v>318</v>
      </c>
      <c r="H50" t="s">
        <v>125</v>
      </c>
      <c r="I50" s="4" t="s">
        <v>123</v>
      </c>
    </row>
    <row r="51" spans="1:9" x14ac:dyDescent="0.25">
      <c r="A51" t="s">
        <v>97</v>
      </c>
      <c r="B51" s="3">
        <v>2170</v>
      </c>
      <c r="C51" s="3">
        <v>2500</v>
      </c>
      <c r="D51" s="1">
        <v>0.13</v>
      </c>
      <c r="E51">
        <v>6</v>
      </c>
      <c r="F51">
        <v>2.5</v>
      </c>
      <c r="G51">
        <v>330</v>
      </c>
      <c r="H51" t="s">
        <v>125</v>
      </c>
      <c r="I51" s="4" t="s">
        <v>124</v>
      </c>
    </row>
    <row r="52" spans="1:9" x14ac:dyDescent="0.25">
      <c r="A52" t="s">
        <v>18</v>
      </c>
      <c r="B52" s="3">
        <v>1000</v>
      </c>
      <c r="C52" s="3">
        <v>2000</v>
      </c>
      <c r="D52" s="1">
        <v>0.5</v>
      </c>
      <c r="E52">
        <v>7</v>
      </c>
      <c r="F52">
        <v>2.2999999999999998</v>
      </c>
      <c r="G52">
        <v>1000</v>
      </c>
      <c r="H52" t="s">
        <v>125</v>
      </c>
      <c r="I52" s="4" t="s">
        <v>123</v>
      </c>
    </row>
    <row r="53" spans="1:9" x14ac:dyDescent="0.25">
      <c r="A53" t="s">
        <v>53</v>
      </c>
      <c r="B53">
        <v>345</v>
      </c>
      <c r="C53">
        <v>602</v>
      </c>
      <c r="D53" s="1">
        <v>0.43</v>
      </c>
      <c r="E53">
        <v>6</v>
      </c>
      <c r="F53">
        <v>2.2999999999999998</v>
      </c>
      <c r="G53">
        <v>257</v>
      </c>
      <c r="H53" t="s">
        <v>125</v>
      </c>
      <c r="I53" s="4" t="s">
        <v>123</v>
      </c>
    </row>
    <row r="54" spans="1:9" x14ac:dyDescent="0.25">
      <c r="A54" t="s">
        <v>41</v>
      </c>
      <c r="B54">
        <v>968</v>
      </c>
      <c r="C54" s="3">
        <v>1814</v>
      </c>
      <c r="D54" s="1">
        <v>0.47</v>
      </c>
      <c r="E54">
        <v>6</v>
      </c>
      <c r="F54">
        <v>2.2000000000000002</v>
      </c>
      <c r="G54">
        <v>846</v>
      </c>
      <c r="H54" t="s">
        <v>125</v>
      </c>
      <c r="I54" s="4" t="s">
        <v>123</v>
      </c>
    </row>
    <row r="55" spans="1:9" x14ac:dyDescent="0.25">
      <c r="A55" t="s">
        <v>51</v>
      </c>
      <c r="B55">
        <v>990</v>
      </c>
      <c r="C55" s="3">
        <v>1814</v>
      </c>
      <c r="D55" s="1">
        <v>0.45</v>
      </c>
      <c r="E55">
        <v>6</v>
      </c>
      <c r="F55">
        <v>2.2000000000000002</v>
      </c>
      <c r="G55">
        <v>824</v>
      </c>
      <c r="H55" t="s">
        <v>125</v>
      </c>
      <c r="I55" s="4" t="s">
        <v>123</v>
      </c>
    </row>
    <row r="56" spans="1:9" x14ac:dyDescent="0.25">
      <c r="A56" t="s">
        <v>7</v>
      </c>
      <c r="B56" s="3">
        <v>2115</v>
      </c>
      <c r="C56" s="3">
        <v>4700</v>
      </c>
      <c r="D56" s="1">
        <v>0.55000000000000004</v>
      </c>
      <c r="E56">
        <v>13</v>
      </c>
      <c r="F56">
        <v>2.1</v>
      </c>
      <c r="G56">
        <v>2585</v>
      </c>
      <c r="H56" t="s">
        <v>125</v>
      </c>
      <c r="I56" s="4" t="s">
        <v>123</v>
      </c>
    </row>
    <row r="57" spans="1:9" x14ac:dyDescent="0.25">
      <c r="A57" t="s">
        <v>42</v>
      </c>
      <c r="B57" s="3">
        <v>1570</v>
      </c>
      <c r="C57" s="3">
        <v>2988</v>
      </c>
      <c r="D57" s="1">
        <v>0.47</v>
      </c>
      <c r="E57">
        <v>7</v>
      </c>
      <c r="F57">
        <v>2.1</v>
      </c>
      <c r="G57">
        <v>1418</v>
      </c>
      <c r="H57" t="s">
        <v>125</v>
      </c>
      <c r="I57" s="4" t="s">
        <v>123</v>
      </c>
    </row>
    <row r="58" spans="1:9" x14ac:dyDescent="0.25">
      <c r="A58" t="s">
        <v>21</v>
      </c>
      <c r="B58">
        <v>450</v>
      </c>
      <c r="C58">
        <v>900</v>
      </c>
      <c r="D58" s="1">
        <v>0.5</v>
      </c>
      <c r="E58">
        <v>1</v>
      </c>
      <c r="F58">
        <v>2</v>
      </c>
      <c r="G58">
        <v>450</v>
      </c>
      <c r="H58" t="s">
        <v>125</v>
      </c>
      <c r="I58" s="4" t="s">
        <v>123</v>
      </c>
    </row>
    <row r="59" spans="1:9" x14ac:dyDescent="0.25">
      <c r="A59" t="s">
        <v>3</v>
      </c>
      <c r="B59">
        <v>199</v>
      </c>
      <c r="C59">
        <v>553</v>
      </c>
      <c r="D59" s="1">
        <v>0.64</v>
      </c>
      <c r="E59">
        <v>0</v>
      </c>
      <c r="F59">
        <v>0</v>
      </c>
      <c r="G59">
        <v>354</v>
      </c>
      <c r="H59" t="s">
        <v>125</v>
      </c>
      <c r="I59" s="4" t="s">
        <v>123</v>
      </c>
    </row>
    <row r="60" spans="1:9" x14ac:dyDescent="0.25">
      <c r="A60" t="s">
        <v>4</v>
      </c>
      <c r="B60">
        <v>199</v>
      </c>
      <c r="C60">
        <v>504</v>
      </c>
      <c r="D60" s="1">
        <v>0.61</v>
      </c>
      <c r="E60">
        <v>0</v>
      </c>
      <c r="F60">
        <v>0</v>
      </c>
      <c r="G60">
        <v>305</v>
      </c>
      <c r="H60" t="s">
        <v>125</v>
      </c>
      <c r="I60" s="4" t="s">
        <v>123</v>
      </c>
    </row>
    <row r="61" spans="1:9" x14ac:dyDescent="0.25">
      <c r="A61" t="s">
        <v>6</v>
      </c>
      <c r="B61">
        <v>399</v>
      </c>
      <c r="C61">
        <v>896</v>
      </c>
      <c r="D61" s="1">
        <v>0.55000000000000004</v>
      </c>
      <c r="E61">
        <v>0</v>
      </c>
      <c r="F61">
        <v>0</v>
      </c>
      <c r="G61">
        <v>497</v>
      </c>
      <c r="H61" t="s">
        <v>125</v>
      </c>
      <c r="I61" s="4" t="s">
        <v>123</v>
      </c>
    </row>
    <row r="62" spans="1:9" x14ac:dyDescent="0.25">
      <c r="A62" t="s">
        <v>20</v>
      </c>
      <c r="B62" s="3">
        <v>1200</v>
      </c>
      <c r="C62" s="3">
        <v>2400</v>
      </c>
      <c r="D62" s="1">
        <v>0.5</v>
      </c>
      <c r="E62">
        <v>0</v>
      </c>
      <c r="F62">
        <v>0</v>
      </c>
      <c r="G62">
        <v>1200</v>
      </c>
      <c r="H62" t="s">
        <v>125</v>
      </c>
      <c r="I62" s="4" t="s">
        <v>123</v>
      </c>
    </row>
    <row r="63" spans="1:9" x14ac:dyDescent="0.25">
      <c r="A63" t="s">
        <v>16</v>
      </c>
      <c r="B63">
        <v>999</v>
      </c>
      <c r="C63" s="3">
        <v>2000</v>
      </c>
      <c r="D63" s="1">
        <v>0.5</v>
      </c>
      <c r="E63">
        <v>0</v>
      </c>
      <c r="F63">
        <v>0</v>
      </c>
      <c r="G63">
        <v>1001</v>
      </c>
      <c r="H63" t="s">
        <v>125</v>
      </c>
      <c r="I63" s="4" t="s">
        <v>123</v>
      </c>
    </row>
    <row r="64" spans="1:9" x14ac:dyDescent="0.25">
      <c r="A64" t="s">
        <v>19</v>
      </c>
      <c r="B64">
        <v>850</v>
      </c>
      <c r="C64" s="3">
        <v>1700</v>
      </c>
      <c r="D64" s="1">
        <v>0.5</v>
      </c>
      <c r="E64">
        <v>0</v>
      </c>
      <c r="F64">
        <v>0</v>
      </c>
      <c r="G64">
        <v>850</v>
      </c>
      <c r="H64" t="s">
        <v>125</v>
      </c>
      <c r="I64" s="4" t="s">
        <v>123</v>
      </c>
    </row>
    <row r="65" spans="1:9" x14ac:dyDescent="0.25">
      <c r="A65" t="s">
        <v>17</v>
      </c>
      <c r="B65">
        <v>299</v>
      </c>
      <c r="C65">
        <v>600</v>
      </c>
      <c r="D65" s="1">
        <v>0.5</v>
      </c>
      <c r="E65">
        <v>0</v>
      </c>
      <c r="F65">
        <v>0</v>
      </c>
      <c r="G65">
        <v>301</v>
      </c>
      <c r="H65" t="s">
        <v>125</v>
      </c>
      <c r="I65" s="4" t="s">
        <v>123</v>
      </c>
    </row>
    <row r="66" spans="1:9" x14ac:dyDescent="0.25">
      <c r="A66" t="s">
        <v>15</v>
      </c>
      <c r="B66">
        <v>238</v>
      </c>
      <c r="C66">
        <v>476</v>
      </c>
      <c r="D66" s="1">
        <v>0.5</v>
      </c>
      <c r="E66">
        <v>0</v>
      </c>
      <c r="F66">
        <v>0</v>
      </c>
      <c r="G66">
        <v>238</v>
      </c>
      <c r="H66" t="s">
        <v>125</v>
      </c>
      <c r="I66" s="4" t="s">
        <v>123</v>
      </c>
    </row>
    <row r="67" spans="1:9" x14ac:dyDescent="0.25">
      <c r="A67" t="s">
        <v>26</v>
      </c>
      <c r="B67">
        <v>799</v>
      </c>
      <c r="C67" s="3">
        <v>1567</v>
      </c>
      <c r="D67" s="1">
        <v>0.49</v>
      </c>
      <c r="E67">
        <v>0</v>
      </c>
      <c r="F67">
        <v>0</v>
      </c>
      <c r="G67">
        <v>768</v>
      </c>
      <c r="H67" t="s">
        <v>125</v>
      </c>
      <c r="I67" s="4" t="s">
        <v>123</v>
      </c>
    </row>
    <row r="68" spans="1:9" x14ac:dyDescent="0.25">
      <c r="A68" t="s">
        <v>25</v>
      </c>
      <c r="B68">
        <v>671</v>
      </c>
      <c r="C68" s="3">
        <v>1316</v>
      </c>
      <c r="D68" s="1">
        <v>0.49</v>
      </c>
      <c r="E68">
        <v>0</v>
      </c>
      <c r="F68">
        <v>0</v>
      </c>
      <c r="G68">
        <v>645</v>
      </c>
      <c r="H68" t="s">
        <v>125</v>
      </c>
      <c r="I68" s="4" t="s">
        <v>123</v>
      </c>
    </row>
    <row r="69" spans="1:9" x14ac:dyDescent="0.25">
      <c r="A69" t="s">
        <v>32</v>
      </c>
      <c r="B69">
        <v>657</v>
      </c>
      <c r="C69" s="3">
        <v>1288</v>
      </c>
      <c r="D69" s="1">
        <v>0.49</v>
      </c>
      <c r="E69">
        <v>0</v>
      </c>
      <c r="F69">
        <v>0</v>
      </c>
      <c r="G69">
        <v>631</v>
      </c>
      <c r="H69" t="s">
        <v>125</v>
      </c>
      <c r="I69" s="4" t="s">
        <v>123</v>
      </c>
    </row>
    <row r="70" spans="1:9" x14ac:dyDescent="0.25">
      <c r="A70" t="s">
        <v>34</v>
      </c>
      <c r="B70">
        <v>525</v>
      </c>
      <c r="C70" s="3">
        <v>1029</v>
      </c>
      <c r="D70" s="1">
        <v>0.49</v>
      </c>
      <c r="E70">
        <v>0</v>
      </c>
      <c r="F70">
        <v>0</v>
      </c>
      <c r="G70">
        <v>504</v>
      </c>
      <c r="H70" t="s">
        <v>125</v>
      </c>
      <c r="I70" s="4" t="s">
        <v>123</v>
      </c>
    </row>
    <row r="71" spans="1:9" x14ac:dyDescent="0.25">
      <c r="A71" t="s">
        <v>24</v>
      </c>
      <c r="B71">
        <v>475</v>
      </c>
      <c r="C71">
        <v>931</v>
      </c>
      <c r="D71" s="1">
        <v>0.49</v>
      </c>
      <c r="E71">
        <v>0</v>
      </c>
      <c r="F71">
        <v>0</v>
      </c>
      <c r="G71">
        <v>456</v>
      </c>
      <c r="H71" t="s">
        <v>125</v>
      </c>
      <c r="I71" s="4" t="s">
        <v>123</v>
      </c>
    </row>
    <row r="72" spans="1:9" x14ac:dyDescent="0.25">
      <c r="A72" t="s">
        <v>111</v>
      </c>
      <c r="B72">
        <v>274</v>
      </c>
      <c r="C72">
        <v>537</v>
      </c>
      <c r="D72" s="1">
        <v>0.49</v>
      </c>
      <c r="E72">
        <v>0</v>
      </c>
      <c r="F72">
        <v>0</v>
      </c>
      <c r="G72">
        <v>263</v>
      </c>
      <c r="H72" t="s">
        <v>125</v>
      </c>
      <c r="I72" s="4" t="s">
        <v>123</v>
      </c>
    </row>
    <row r="73" spans="1:9" x14ac:dyDescent="0.25">
      <c r="A73" t="s">
        <v>33</v>
      </c>
      <c r="B73">
        <v>248</v>
      </c>
      <c r="C73">
        <v>486</v>
      </c>
      <c r="D73" s="1">
        <v>0.49</v>
      </c>
      <c r="E73">
        <v>0</v>
      </c>
      <c r="F73">
        <v>0</v>
      </c>
      <c r="G73">
        <v>238</v>
      </c>
      <c r="H73" t="s">
        <v>125</v>
      </c>
      <c r="I73" s="4" t="s">
        <v>123</v>
      </c>
    </row>
    <row r="74" spans="1:9" x14ac:dyDescent="0.25">
      <c r="A74" t="s">
        <v>28</v>
      </c>
      <c r="B74">
        <v>230</v>
      </c>
      <c r="C74">
        <v>450</v>
      </c>
      <c r="D74" s="1">
        <v>0.49</v>
      </c>
      <c r="E74">
        <v>0</v>
      </c>
      <c r="F74">
        <v>0</v>
      </c>
      <c r="G74">
        <v>220</v>
      </c>
      <c r="H74" t="s">
        <v>125</v>
      </c>
      <c r="I74" s="4" t="s">
        <v>123</v>
      </c>
    </row>
    <row r="75" spans="1:9" x14ac:dyDescent="0.25">
      <c r="A75" t="s">
        <v>31</v>
      </c>
      <c r="B75">
        <v>176</v>
      </c>
      <c r="C75">
        <v>345</v>
      </c>
      <c r="D75" s="1">
        <v>0.49</v>
      </c>
      <c r="E75">
        <v>0</v>
      </c>
      <c r="F75">
        <v>0</v>
      </c>
      <c r="G75">
        <v>169</v>
      </c>
      <c r="H75" t="s">
        <v>125</v>
      </c>
      <c r="I75" s="4" t="s">
        <v>123</v>
      </c>
    </row>
    <row r="76" spans="1:9" x14ac:dyDescent="0.25">
      <c r="A76" t="s">
        <v>37</v>
      </c>
      <c r="B76" s="3">
        <v>1300</v>
      </c>
      <c r="C76" s="3">
        <v>2500</v>
      </c>
      <c r="D76" s="1">
        <v>0.48</v>
      </c>
      <c r="E76">
        <v>0</v>
      </c>
      <c r="F76">
        <v>0</v>
      </c>
      <c r="G76">
        <v>1200</v>
      </c>
      <c r="H76" t="s">
        <v>125</v>
      </c>
      <c r="I76" s="4" t="s">
        <v>123</v>
      </c>
    </row>
    <row r="77" spans="1:9" x14ac:dyDescent="0.25">
      <c r="A77" t="s">
        <v>36</v>
      </c>
      <c r="B77">
        <v>699</v>
      </c>
      <c r="C77" s="3">
        <v>1343</v>
      </c>
      <c r="D77" s="1">
        <v>0.48</v>
      </c>
      <c r="E77">
        <v>0</v>
      </c>
      <c r="F77">
        <v>0</v>
      </c>
      <c r="G77">
        <v>644</v>
      </c>
      <c r="H77" t="s">
        <v>125</v>
      </c>
      <c r="I77" s="4" t="s">
        <v>123</v>
      </c>
    </row>
    <row r="78" spans="1:9" x14ac:dyDescent="0.25">
      <c r="A78" t="s">
        <v>38</v>
      </c>
      <c r="B78">
        <v>105</v>
      </c>
      <c r="C78">
        <v>200</v>
      </c>
      <c r="D78" s="1">
        <v>0.48</v>
      </c>
      <c r="E78">
        <v>0</v>
      </c>
      <c r="F78">
        <v>0</v>
      </c>
      <c r="G78">
        <v>95</v>
      </c>
      <c r="H78" t="s">
        <v>125</v>
      </c>
      <c r="I78" s="4" t="s">
        <v>123</v>
      </c>
    </row>
    <row r="79" spans="1:9" x14ac:dyDescent="0.25">
      <c r="A79" t="s">
        <v>44</v>
      </c>
      <c r="B79">
        <v>899</v>
      </c>
      <c r="C79" s="3">
        <v>1699</v>
      </c>
      <c r="D79" s="1">
        <v>0.47</v>
      </c>
      <c r="E79">
        <v>0</v>
      </c>
      <c r="F79">
        <v>0</v>
      </c>
      <c r="G79">
        <v>800</v>
      </c>
      <c r="H79" t="s">
        <v>125</v>
      </c>
      <c r="I79" s="4" t="s">
        <v>123</v>
      </c>
    </row>
    <row r="80" spans="1:9" x14ac:dyDescent="0.25">
      <c r="A80" t="s">
        <v>43</v>
      </c>
      <c r="B80">
        <v>790</v>
      </c>
      <c r="C80" s="3">
        <v>1485</v>
      </c>
      <c r="D80" s="1">
        <v>0.47</v>
      </c>
      <c r="E80">
        <v>0</v>
      </c>
      <c r="F80">
        <v>0</v>
      </c>
      <c r="G80">
        <v>695</v>
      </c>
      <c r="H80" t="s">
        <v>125</v>
      </c>
      <c r="I80" s="4" t="s">
        <v>123</v>
      </c>
    </row>
    <row r="81" spans="1:12" x14ac:dyDescent="0.25">
      <c r="A81" t="s">
        <v>45</v>
      </c>
      <c r="B81">
        <v>169</v>
      </c>
      <c r="C81">
        <v>320</v>
      </c>
      <c r="D81" s="1">
        <v>0.47</v>
      </c>
      <c r="E81">
        <v>0</v>
      </c>
      <c r="F81">
        <v>0</v>
      </c>
      <c r="G81">
        <v>151</v>
      </c>
      <c r="H81" t="s">
        <v>125</v>
      </c>
      <c r="I81" s="4" t="s">
        <v>123</v>
      </c>
    </row>
    <row r="82" spans="1:12" x14ac:dyDescent="0.25">
      <c r="A82" t="s">
        <v>47</v>
      </c>
      <c r="B82" s="3">
        <v>2200</v>
      </c>
      <c r="C82" s="3">
        <v>4080</v>
      </c>
      <c r="D82" s="1">
        <v>0.46</v>
      </c>
      <c r="E82">
        <v>0</v>
      </c>
      <c r="F82">
        <v>0</v>
      </c>
      <c r="G82">
        <v>1880</v>
      </c>
      <c r="H82" t="s">
        <v>125</v>
      </c>
      <c r="I82" s="4" t="s">
        <v>123</v>
      </c>
    </row>
    <row r="83" spans="1:12" x14ac:dyDescent="0.25">
      <c r="A83" t="s">
        <v>50</v>
      </c>
      <c r="B83">
        <v>499</v>
      </c>
      <c r="C83">
        <v>900</v>
      </c>
      <c r="D83" s="1">
        <v>0.45</v>
      </c>
      <c r="E83">
        <v>0</v>
      </c>
      <c r="F83">
        <v>0</v>
      </c>
      <c r="G83">
        <v>401</v>
      </c>
      <c r="H83" t="s">
        <v>125</v>
      </c>
      <c r="I83" s="4" t="s">
        <v>123</v>
      </c>
    </row>
    <row r="84" spans="1:12" x14ac:dyDescent="0.25">
      <c r="A84" t="s">
        <v>55</v>
      </c>
      <c r="B84">
        <v>690</v>
      </c>
      <c r="C84" s="3">
        <v>1200</v>
      </c>
      <c r="D84" s="1">
        <v>0.43</v>
      </c>
      <c r="E84">
        <v>0</v>
      </c>
      <c r="F84">
        <v>0</v>
      </c>
      <c r="G84">
        <v>510</v>
      </c>
      <c r="H84" t="s">
        <v>125</v>
      </c>
      <c r="I84" s="4" t="s">
        <v>123</v>
      </c>
    </row>
    <row r="85" spans="1:12" x14ac:dyDescent="0.25">
      <c r="A85" t="s">
        <v>56</v>
      </c>
      <c r="B85">
        <v>630</v>
      </c>
      <c r="C85" s="3">
        <v>1100</v>
      </c>
      <c r="D85" s="1">
        <v>0.43</v>
      </c>
      <c r="E85">
        <v>0</v>
      </c>
      <c r="F85">
        <v>0</v>
      </c>
      <c r="G85">
        <v>470</v>
      </c>
      <c r="H85" t="s">
        <v>125</v>
      </c>
      <c r="I85" s="4" t="s">
        <v>123</v>
      </c>
    </row>
    <row r="86" spans="1:12" x14ac:dyDescent="0.25">
      <c r="A86" t="s">
        <v>58</v>
      </c>
      <c r="B86" s="3">
        <v>1860</v>
      </c>
      <c r="C86" s="3">
        <v>3220</v>
      </c>
      <c r="D86" s="1">
        <v>0.42</v>
      </c>
      <c r="E86">
        <v>0</v>
      </c>
      <c r="F86">
        <v>0</v>
      </c>
      <c r="G86">
        <v>1360</v>
      </c>
      <c r="H86" t="s">
        <v>125</v>
      </c>
      <c r="I86" s="4" t="s">
        <v>123</v>
      </c>
    </row>
    <row r="87" spans="1:12" x14ac:dyDescent="0.25">
      <c r="A87" t="s">
        <v>56</v>
      </c>
      <c r="B87" s="3">
        <v>1080</v>
      </c>
      <c r="C87" s="3">
        <v>1874</v>
      </c>
      <c r="D87" s="1">
        <v>0.42</v>
      </c>
      <c r="E87">
        <v>0</v>
      </c>
      <c r="F87">
        <v>0</v>
      </c>
      <c r="G87">
        <v>794</v>
      </c>
      <c r="H87" t="s">
        <v>125</v>
      </c>
      <c r="I87" s="4" t="s">
        <v>123</v>
      </c>
    </row>
    <row r="88" spans="1:12" x14ac:dyDescent="0.25">
      <c r="A88" t="s">
        <v>59</v>
      </c>
      <c r="B88">
        <v>610</v>
      </c>
      <c r="C88" s="3">
        <v>1060</v>
      </c>
      <c r="D88" s="1">
        <v>0.42</v>
      </c>
      <c r="E88">
        <v>0</v>
      </c>
      <c r="F88">
        <v>0</v>
      </c>
      <c r="G88">
        <v>450</v>
      </c>
      <c r="H88" t="s">
        <v>125</v>
      </c>
      <c r="I88" s="4" t="s">
        <v>123</v>
      </c>
    </row>
    <row r="89" spans="1:12" x14ac:dyDescent="0.25">
      <c r="A89" t="s">
        <v>62</v>
      </c>
      <c r="B89" s="3">
        <v>1420</v>
      </c>
      <c r="C89" s="3">
        <v>2420</v>
      </c>
      <c r="D89" s="1">
        <v>0.41</v>
      </c>
      <c r="E89">
        <v>0</v>
      </c>
      <c r="F89">
        <v>0</v>
      </c>
      <c r="G89">
        <v>1000</v>
      </c>
      <c r="H89" t="s">
        <v>125</v>
      </c>
      <c r="I89" s="4" t="s">
        <v>123</v>
      </c>
    </row>
    <row r="90" spans="1:12" x14ac:dyDescent="0.25">
      <c r="A90" t="s">
        <v>61</v>
      </c>
      <c r="B90">
        <v>799</v>
      </c>
      <c r="C90" s="3">
        <v>1343</v>
      </c>
      <c r="D90" s="1">
        <v>0.41</v>
      </c>
      <c r="E90">
        <v>0</v>
      </c>
      <c r="F90">
        <v>0</v>
      </c>
      <c r="G90">
        <v>544</v>
      </c>
      <c r="H90" t="s">
        <v>125</v>
      </c>
      <c r="I90" s="4" t="s">
        <v>123</v>
      </c>
    </row>
    <row r="91" spans="1:12" x14ac:dyDescent="0.25">
      <c r="A91" t="s">
        <v>67</v>
      </c>
      <c r="B91" s="3">
        <v>2750</v>
      </c>
      <c r="C91" s="3">
        <v>4471</v>
      </c>
      <c r="D91" s="1">
        <v>0.38</v>
      </c>
      <c r="E91">
        <v>0</v>
      </c>
      <c r="F91">
        <v>0</v>
      </c>
      <c r="G91">
        <v>1721</v>
      </c>
      <c r="H91" t="s">
        <v>125</v>
      </c>
      <c r="I91" s="4" t="s">
        <v>122</v>
      </c>
    </row>
    <row r="92" spans="1:12" x14ac:dyDescent="0.25">
      <c r="A92" t="s">
        <v>68</v>
      </c>
      <c r="B92" s="3">
        <v>1200</v>
      </c>
      <c r="C92" s="3">
        <v>1950</v>
      </c>
      <c r="D92" s="1">
        <v>0.38</v>
      </c>
      <c r="E92">
        <v>0</v>
      </c>
      <c r="F92">
        <v>0</v>
      </c>
      <c r="G92">
        <v>750</v>
      </c>
      <c r="H92" t="s">
        <v>125</v>
      </c>
      <c r="I92" s="4" t="s">
        <v>122</v>
      </c>
    </row>
    <row r="93" spans="1:12" x14ac:dyDescent="0.25">
      <c r="A93" t="s">
        <v>71</v>
      </c>
      <c r="B93" s="3">
        <v>1460</v>
      </c>
      <c r="C93" s="3">
        <v>2290</v>
      </c>
      <c r="D93" s="1">
        <v>0.36</v>
      </c>
      <c r="E93">
        <v>0</v>
      </c>
      <c r="F93">
        <v>0</v>
      </c>
      <c r="G93">
        <v>830</v>
      </c>
      <c r="H93" t="s">
        <v>125</v>
      </c>
      <c r="I93" s="4" t="s">
        <v>122</v>
      </c>
    </row>
    <row r="94" spans="1:12" x14ac:dyDescent="0.25">
      <c r="A94" t="s">
        <v>77</v>
      </c>
      <c r="B94" s="3">
        <v>1190</v>
      </c>
      <c r="C94" s="3">
        <v>1810</v>
      </c>
      <c r="D94" s="1">
        <v>0.34</v>
      </c>
      <c r="E94">
        <v>0</v>
      </c>
      <c r="F94">
        <v>0</v>
      </c>
      <c r="G94">
        <v>620</v>
      </c>
      <c r="H94" t="s">
        <v>125</v>
      </c>
      <c r="I94" s="4" t="s">
        <v>122</v>
      </c>
    </row>
    <row r="95" spans="1:12" x14ac:dyDescent="0.25">
      <c r="A95" t="s">
        <v>76</v>
      </c>
      <c r="B95" s="3">
        <v>1150</v>
      </c>
      <c r="C95" s="3">
        <v>1737</v>
      </c>
      <c r="D95" s="1">
        <v>0.34</v>
      </c>
      <c r="E95">
        <v>0</v>
      </c>
      <c r="F95">
        <v>0</v>
      </c>
      <c r="G95">
        <v>587</v>
      </c>
      <c r="H95" t="s">
        <v>125</v>
      </c>
      <c r="I95" s="4" t="s">
        <v>122</v>
      </c>
    </row>
    <row r="96" spans="1:12" x14ac:dyDescent="0.25">
      <c r="A96" t="s">
        <v>79</v>
      </c>
      <c r="B96" s="3">
        <v>1190</v>
      </c>
      <c r="C96" s="3">
        <v>1785</v>
      </c>
      <c r="D96" s="1">
        <v>0.33</v>
      </c>
      <c r="E96">
        <v>0</v>
      </c>
      <c r="F96">
        <v>0</v>
      </c>
      <c r="G96">
        <v>595</v>
      </c>
      <c r="H96" t="s">
        <v>125</v>
      </c>
      <c r="I96" s="4" t="s">
        <v>122</v>
      </c>
      <c r="K96" t="s">
        <v>151</v>
      </c>
      <c r="L96">
        <f>AVERAGEIF(I:I, "High Discount", F:F)</f>
        <v>1.748387096774193</v>
      </c>
    </row>
    <row r="97" spans="1:12" x14ac:dyDescent="0.25">
      <c r="A97" t="s">
        <v>84</v>
      </c>
      <c r="B97" s="3">
        <v>2799</v>
      </c>
      <c r="C97" s="3">
        <v>3810</v>
      </c>
      <c r="D97" s="1">
        <v>0.27</v>
      </c>
      <c r="E97">
        <v>0</v>
      </c>
      <c r="F97">
        <v>0</v>
      </c>
      <c r="G97">
        <v>1011</v>
      </c>
      <c r="H97" t="s">
        <v>125</v>
      </c>
      <c r="I97" s="4" t="s">
        <v>122</v>
      </c>
      <c r="K97" t="s">
        <v>150</v>
      </c>
      <c r="L97">
        <f>AVERAGEIF(I:I, "Low Discount", F:F)</f>
        <v>0.82777777777777772</v>
      </c>
    </row>
    <row r="98" spans="1:12" x14ac:dyDescent="0.25">
      <c r="A98" t="s">
        <v>87</v>
      </c>
      <c r="B98">
        <v>198</v>
      </c>
      <c r="C98">
        <v>260</v>
      </c>
      <c r="D98" s="1">
        <v>0.24</v>
      </c>
      <c r="E98">
        <v>0</v>
      </c>
      <c r="F98">
        <v>0</v>
      </c>
      <c r="G98">
        <v>62</v>
      </c>
      <c r="H98" t="s">
        <v>125</v>
      </c>
      <c r="I98" s="4" t="s">
        <v>122</v>
      </c>
      <c r="K98" t="s">
        <v>152</v>
      </c>
      <c r="L98">
        <f>AVERAGEIF(I:I, "High Discount", E:E)</f>
        <v>5.387096774193548</v>
      </c>
    </row>
    <row r="99" spans="1:12" x14ac:dyDescent="0.25">
      <c r="A99" t="s">
        <v>89</v>
      </c>
      <c r="B99">
        <v>299</v>
      </c>
      <c r="C99">
        <v>384</v>
      </c>
      <c r="D99" s="1">
        <v>0.22</v>
      </c>
      <c r="E99">
        <v>0</v>
      </c>
      <c r="F99">
        <v>0</v>
      </c>
      <c r="G99">
        <v>85</v>
      </c>
      <c r="H99" t="s">
        <v>125</v>
      </c>
      <c r="I99" s="4" t="s">
        <v>122</v>
      </c>
      <c r="K99" t="s">
        <v>153</v>
      </c>
      <c r="L99">
        <f>AVERAGEIF(I:I, "Low Discount", E:E)</f>
        <v>2.1111111111111112</v>
      </c>
    </row>
    <row r="100" spans="1:12" x14ac:dyDescent="0.25">
      <c r="A100" t="s">
        <v>95</v>
      </c>
      <c r="B100" s="3">
        <v>1466</v>
      </c>
      <c r="C100" s="3">
        <v>1699</v>
      </c>
      <c r="D100" s="1">
        <v>0.14000000000000001</v>
      </c>
      <c r="E100">
        <v>0</v>
      </c>
      <c r="F100">
        <v>0</v>
      </c>
      <c r="G100">
        <v>233</v>
      </c>
      <c r="H100" t="s">
        <v>125</v>
      </c>
      <c r="I100" s="4" t="s">
        <v>124</v>
      </c>
    </row>
    <row r="101" spans="1:12" x14ac:dyDescent="0.25">
      <c r="A101" t="s">
        <v>96</v>
      </c>
      <c r="B101" s="3">
        <v>1468</v>
      </c>
      <c r="C101" s="3">
        <v>1699</v>
      </c>
      <c r="D101" s="1">
        <v>0.14000000000000001</v>
      </c>
      <c r="E101">
        <v>0</v>
      </c>
      <c r="F101">
        <v>0</v>
      </c>
      <c r="G101">
        <v>231</v>
      </c>
      <c r="H101" t="s">
        <v>125</v>
      </c>
      <c r="I101" s="4" t="s">
        <v>124</v>
      </c>
    </row>
    <row r="102" spans="1:12" x14ac:dyDescent="0.25">
      <c r="A102" t="s">
        <v>98</v>
      </c>
      <c r="B102">
        <v>799</v>
      </c>
      <c r="C102">
        <v>900</v>
      </c>
      <c r="D102" s="1">
        <v>0.11</v>
      </c>
      <c r="E102">
        <v>0</v>
      </c>
      <c r="F102">
        <v>0</v>
      </c>
      <c r="G102">
        <v>101</v>
      </c>
      <c r="H102" t="s">
        <v>125</v>
      </c>
      <c r="I102" s="4" t="s">
        <v>124</v>
      </c>
    </row>
    <row r="103" spans="1:12" x14ac:dyDescent="0.25">
      <c r="A103" t="s">
        <v>100</v>
      </c>
      <c r="B103" s="3">
        <v>1526</v>
      </c>
      <c r="C103" s="3">
        <v>1660</v>
      </c>
      <c r="D103" s="1">
        <v>0.08</v>
      </c>
      <c r="E103">
        <v>0</v>
      </c>
      <c r="F103">
        <v>0</v>
      </c>
      <c r="G103">
        <v>134</v>
      </c>
      <c r="H103" t="s">
        <v>125</v>
      </c>
      <c r="I103" s="4" t="s">
        <v>124</v>
      </c>
    </row>
    <row r="104" spans="1:12" x14ac:dyDescent="0.25">
      <c r="A104" t="s">
        <v>102</v>
      </c>
      <c r="B104" s="3">
        <v>3546</v>
      </c>
      <c r="C104" s="3">
        <v>3699</v>
      </c>
      <c r="D104" s="1">
        <v>0.04</v>
      </c>
      <c r="E104">
        <v>0</v>
      </c>
      <c r="F104">
        <v>0</v>
      </c>
      <c r="G104">
        <v>153</v>
      </c>
      <c r="H104" t="s">
        <v>125</v>
      </c>
      <c r="I104" s="4" t="s">
        <v>124</v>
      </c>
    </row>
    <row r="105" spans="1:12" x14ac:dyDescent="0.25">
      <c r="A105" t="s">
        <v>101</v>
      </c>
      <c r="B105" s="3">
        <v>1732</v>
      </c>
      <c r="C105" s="3">
        <v>1799</v>
      </c>
      <c r="D105" s="1">
        <v>0.04</v>
      </c>
      <c r="E105">
        <v>0</v>
      </c>
      <c r="F105">
        <v>0</v>
      </c>
      <c r="G105">
        <v>67</v>
      </c>
      <c r="H105" t="s">
        <v>125</v>
      </c>
      <c r="I105" s="4" t="s">
        <v>124</v>
      </c>
    </row>
    <row r="106" spans="1:12" x14ac:dyDescent="0.25">
      <c r="A106" t="s">
        <v>103</v>
      </c>
      <c r="B106" s="3">
        <v>1459</v>
      </c>
      <c r="C106" s="3">
        <v>1499</v>
      </c>
      <c r="D106" s="1">
        <v>0.03</v>
      </c>
      <c r="E106">
        <v>0</v>
      </c>
      <c r="F106">
        <v>0</v>
      </c>
      <c r="G106">
        <v>40</v>
      </c>
      <c r="H106" t="s">
        <v>125</v>
      </c>
      <c r="I106" s="4" t="s">
        <v>124</v>
      </c>
    </row>
    <row r="107" spans="1:12" x14ac:dyDescent="0.25">
      <c r="A107" t="s">
        <v>108</v>
      </c>
      <c r="B107" s="3">
        <v>1658</v>
      </c>
      <c r="C107" s="3">
        <v>1699</v>
      </c>
      <c r="D107" s="1">
        <v>0.02</v>
      </c>
      <c r="E107">
        <v>0</v>
      </c>
      <c r="F107">
        <v>0</v>
      </c>
      <c r="G107">
        <v>41</v>
      </c>
      <c r="H107" t="s">
        <v>125</v>
      </c>
      <c r="I107" s="4" t="s">
        <v>124</v>
      </c>
    </row>
    <row r="108" spans="1:12" x14ac:dyDescent="0.25">
      <c r="A108" t="s">
        <v>105</v>
      </c>
      <c r="B108" s="3">
        <v>1660</v>
      </c>
      <c r="C108" s="3">
        <v>1699</v>
      </c>
      <c r="D108" s="1">
        <v>0.02</v>
      </c>
      <c r="E108">
        <v>0</v>
      </c>
      <c r="F108">
        <v>0</v>
      </c>
      <c r="G108">
        <v>39</v>
      </c>
      <c r="H108" t="s">
        <v>125</v>
      </c>
      <c r="I108" s="4" t="s">
        <v>124</v>
      </c>
    </row>
    <row r="109" spans="1:12" x14ac:dyDescent="0.25">
      <c r="A109" t="s">
        <v>104</v>
      </c>
      <c r="B109" s="3">
        <v>2132</v>
      </c>
      <c r="C109" s="3">
        <v>2169</v>
      </c>
      <c r="D109" s="1">
        <v>0.02</v>
      </c>
      <c r="E109">
        <v>0</v>
      </c>
      <c r="F109">
        <v>0</v>
      </c>
      <c r="G109">
        <v>37</v>
      </c>
      <c r="H109" t="s">
        <v>125</v>
      </c>
      <c r="I109" s="4" t="s">
        <v>124</v>
      </c>
    </row>
    <row r="110" spans="1:12" x14ac:dyDescent="0.25">
      <c r="A110" t="s">
        <v>107</v>
      </c>
      <c r="B110" s="3">
        <v>1462</v>
      </c>
      <c r="C110" s="3">
        <v>1499</v>
      </c>
      <c r="D110" s="1">
        <v>0.02</v>
      </c>
      <c r="E110">
        <v>0</v>
      </c>
      <c r="F110">
        <v>0</v>
      </c>
      <c r="G110">
        <v>37</v>
      </c>
      <c r="H110" t="s">
        <v>125</v>
      </c>
      <c r="I110" s="4" t="s">
        <v>124</v>
      </c>
    </row>
    <row r="111" spans="1:12" x14ac:dyDescent="0.25">
      <c r="A111" t="s">
        <v>106</v>
      </c>
      <c r="B111" s="3">
        <v>1666</v>
      </c>
      <c r="C111" s="3">
        <v>1699</v>
      </c>
      <c r="D111" s="1">
        <v>0.02</v>
      </c>
      <c r="E111">
        <v>0</v>
      </c>
      <c r="F111">
        <v>0</v>
      </c>
      <c r="G111">
        <v>33</v>
      </c>
      <c r="H111" t="s">
        <v>125</v>
      </c>
      <c r="I111" s="4" t="s">
        <v>124</v>
      </c>
    </row>
    <row r="112" spans="1:12" x14ac:dyDescent="0.25">
      <c r="A112" t="s">
        <v>109</v>
      </c>
      <c r="B112" s="3">
        <v>1768</v>
      </c>
      <c r="C112" s="3">
        <v>1799</v>
      </c>
      <c r="D112" s="1">
        <v>0.02</v>
      </c>
      <c r="E112">
        <v>0</v>
      </c>
      <c r="F112">
        <v>0</v>
      </c>
      <c r="G112">
        <v>31</v>
      </c>
      <c r="H112" t="s">
        <v>125</v>
      </c>
      <c r="I112" s="4" t="s">
        <v>124</v>
      </c>
    </row>
    <row r="113" spans="1:9" x14ac:dyDescent="0.25">
      <c r="A113" t="s">
        <v>110</v>
      </c>
      <c r="B113" s="3">
        <v>1875</v>
      </c>
      <c r="C113" s="3">
        <v>1899</v>
      </c>
      <c r="D113" s="1">
        <v>0.01</v>
      </c>
      <c r="E113">
        <v>0</v>
      </c>
      <c r="F113">
        <v>0</v>
      </c>
      <c r="G113">
        <v>24</v>
      </c>
      <c r="H113" t="s">
        <v>125</v>
      </c>
      <c r="I113" s="4" t="s">
        <v>124</v>
      </c>
    </row>
  </sheetData>
  <sortState xmlns:xlrd2="http://schemas.microsoft.com/office/spreadsheetml/2017/richdata2" ref="A2:J114">
    <sortCondition descending="1" ref="F2:F11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Sheet2</vt:lpstr>
      <vt:lpstr>avgc.p</vt:lpstr>
      <vt:lpstr>Most Expensive</vt:lpstr>
      <vt:lpstr>Discount category</vt:lpstr>
      <vt:lpstr>Dist. of products</vt:lpstr>
      <vt:lpstr>DiscountvsReviews</vt:lpstr>
      <vt:lpstr>Rating VS reviews</vt:lpstr>
      <vt:lpstr>kpis</vt:lpstr>
      <vt:lpstr>dashboard</vt:lpstr>
      <vt:lpstr>Average Rating</vt:lpstr>
      <vt:lpstr>Top products by review</vt:lpstr>
      <vt:lpstr>Top Products by discount</vt:lpstr>
      <vt:lpstr>Products by rating category</vt:lpstr>
      <vt:lpstr>Product by Discount Category</vt:lpstr>
      <vt:lpstr>Excel_jumia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cheryl chebet</dc:creator>
  <cp:lastModifiedBy>HillaryAwanga</cp:lastModifiedBy>
  <dcterms:created xsi:type="dcterms:W3CDTF">2026-03-18T17:32:22Z</dcterms:created>
  <dcterms:modified xsi:type="dcterms:W3CDTF">2026-03-25T09:29:08Z</dcterms:modified>
</cp:coreProperties>
</file>